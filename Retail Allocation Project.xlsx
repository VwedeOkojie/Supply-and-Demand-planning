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03B8F2E50F923D/Desktop/"/>
    </mc:Choice>
  </mc:AlternateContent>
  <xr:revisionPtr revIDLastSave="1070" documentId="8_{465AD092-420B-4256-8671-705DDCF266D8}" xr6:coauthVersionLast="47" xr6:coauthVersionMax="47" xr10:uidLastSave="{F3A5A469-0C23-43E5-ACD3-8905D586DD37}"/>
  <bookViews>
    <workbookView xWindow="-108" yWindow="-108" windowWidth="23256" windowHeight="12456" activeTab="3" xr2:uid="{2291AE46-FF8E-40E2-89CE-539C76198F9B}"/>
  </bookViews>
  <sheets>
    <sheet name="Assumptions" sheetId="1" r:id="rId1"/>
    <sheet name="Sales History" sheetId="5" r:id="rId2"/>
    <sheet name="Inventory &amp; Replenishment" sheetId="4" r:id="rId3"/>
    <sheet name="Allocation Calculator" sheetId="3" r:id="rId4"/>
    <sheet name="Sell-Through Analysi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6" i="3" l="1"/>
  <c r="N26" i="3" s="1"/>
  <c r="O26" i="3" s="1"/>
  <c r="L27" i="3"/>
  <c r="M18" i="3"/>
  <c r="L11" i="3"/>
  <c r="L19" i="3"/>
  <c r="L22" i="3"/>
  <c r="L23" i="3"/>
  <c r="L24" i="3"/>
  <c r="L25" i="3"/>
  <c r="L26" i="3"/>
  <c r="L21" i="3"/>
  <c r="L14" i="3"/>
  <c r="L15" i="3"/>
  <c r="L16" i="3"/>
  <c r="L17" i="3"/>
  <c r="L18" i="3"/>
  <c r="N18" i="3" s="1"/>
  <c r="O18" i="3" s="1"/>
  <c r="L13" i="3"/>
  <c r="M10" i="3"/>
  <c r="N10" i="3" s="1"/>
  <c r="O10" i="3" s="1"/>
  <c r="L6" i="3"/>
  <c r="L7" i="3"/>
  <c r="L8" i="3"/>
  <c r="L9" i="3"/>
  <c r="L10" i="3"/>
  <c r="L5" i="3"/>
  <c r="E14" i="2"/>
  <c r="K21" i="2"/>
  <c r="E21" i="2"/>
  <c r="D21" i="2"/>
  <c r="D13" i="2"/>
  <c r="E13" i="2"/>
  <c r="F13" i="2"/>
  <c r="G13" i="2"/>
  <c r="H13" i="2"/>
  <c r="I13" i="2"/>
  <c r="J13" i="2"/>
  <c r="K13" i="2"/>
  <c r="D14" i="2"/>
  <c r="H14" i="2"/>
  <c r="I14" i="2"/>
  <c r="J14" i="2"/>
  <c r="K14" i="2"/>
  <c r="D15" i="2"/>
  <c r="E15" i="2"/>
  <c r="F15" i="2"/>
  <c r="G15" i="2"/>
  <c r="H15" i="2"/>
  <c r="I15" i="2"/>
  <c r="J15" i="2"/>
  <c r="K15" i="2"/>
  <c r="D16" i="2"/>
  <c r="E16" i="2"/>
  <c r="F16" i="2"/>
  <c r="G16" i="2"/>
  <c r="H16" i="2"/>
  <c r="I16" i="2"/>
  <c r="J16" i="2"/>
  <c r="K16" i="2"/>
  <c r="D17" i="2"/>
  <c r="E17" i="2"/>
  <c r="F17" i="2"/>
  <c r="G17" i="2"/>
  <c r="H17" i="2"/>
  <c r="I17" i="2"/>
  <c r="J17" i="2"/>
  <c r="K17" i="2"/>
  <c r="D18" i="2"/>
  <c r="E18" i="2"/>
  <c r="F18" i="2"/>
  <c r="G18" i="2"/>
  <c r="H18" i="2"/>
  <c r="I18" i="2"/>
  <c r="J18" i="2"/>
  <c r="K18" i="2"/>
  <c r="F21" i="2"/>
  <c r="G21" i="2"/>
  <c r="H21" i="2"/>
  <c r="I21" i="2"/>
  <c r="J21" i="2"/>
  <c r="D22" i="2"/>
  <c r="E22" i="2"/>
  <c r="F22" i="2"/>
  <c r="G22" i="2"/>
  <c r="H22" i="2"/>
  <c r="I22" i="2"/>
  <c r="J22" i="2"/>
  <c r="K22" i="2"/>
  <c r="D23" i="2"/>
  <c r="E23" i="2"/>
  <c r="F23" i="2"/>
  <c r="G23" i="2"/>
  <c r="H23" i="2"/>
  <c r="I23" i="2"/>
  <c r="J23" i="2"/>
  <c r="K23" i="2"/>
  <c r="D24" i="2"/>
  <c r="E24" i="2"/>
  <c r="F24" i="2"/>
  <c r="G24" i="2"/>
  <c r="H24" i="2"/>
  <c r="I24" i="2"/>
  <c r="J24" i="2"/>
  <c r="K24" i="2"/>
  <c r="D25" i="2"/>
  <c r="E25" i="2"/>
  <c r="F25" i="2"/>
  <c r="G25" i="2"/>
  <c r="H25" i="2"/>
  <c r="I25" i="2"/>
  <c r="J25" i="2"/>
  <c r="K25" i="2"/>
  <c r="D26" i="2"/>
  <c r="E26" i="2"/>
  <c r="F26" i="2"/>
  <c r="G26" i="2"/>
  <c r="H26" i="2"/>
  <c r="I26" i="2"/>
  <c r="J26" i="2"/>
  <c r="K26" i="2"/>
  <c r="K6" i="2"/>
  <c r="K7" i="2"/>
  <c r="K8" i="2"/>
  <c r="K9" i="2"/>
  <c r="K10" i="2"/>
  <c r="K5" i="2"/>
  <c r="J6" i="2"/>
  <c r="J7" i="2"/>
  <c r="J8" i="2"/>
  <c r="J9" i="2"/>
  <c r="J10" i="2"/>
  <c r="J5" i="2"/>
  <c r="I6" i="2"/>
  <c r="I7" i="2"/>
  <c r="I8" i="2"/>
  <c r="I9" i="2"/>
  <c r="I10" i="2"/>
  <c r="I5" i="2"/>
  <c r="H6" i="2"/>
  <c r="H7" i="2"/>
  <c r="H8" i="2"/>
  <c r="H9" i="2"/>
  <c r="H10" i="2"/>
  <c r="H5" i="2"/>
  <c r="G6" i="2"/>
  <c r="G7" i="2"/>
  <c r="G8" i="2"/>
  <c r="G9" i="2"/>
  <c r="G10" i="2"/>
  <c r="G5" i="2"/>
  <c r="F5" i="2"/>
  <c r="F6" i="2"/>
  <c r="F7" i="2"/>
  <c r="F8" i="2"/>
  <c r="F9" i="2"/>
  <c r="F10" i="2"/>
  <c r="D7" i="2"/>
  <c r="E9" i="2"/>
  <c r="D5" i="2"/>
  <c r="E6" i="2"/>
  <c r="E7" i="2"/>
  <c r="E8" i="2"/>
  <c r="E10" i="2"/>
  <c r="D6" i="2"/>
  <c r="D8" i="2"/>
  <c r="D10" i="2"/>
  <c r="M21" i="5"/>
  <c r="M22" i="5"/>
  <c r="M23" i="5"/>
  <c r="M24" i="5"/>
  <c r="M25" i="5"/>
  <c r="M20" i="5"/>
  <c r="M13" i="5"/>
  <c r="M14" i="5"/>
  <c r="M15" i="5"/>
  <c r="M16" i="5"/>
  <c r="M17" i="5"/>
  <c r="M12" i="5"/>
  <c r="M5" i="5"/>
  <c r="M6" i="5"/>
  <c r="M7" i="5"/>
  <c r="M8" i="5"/>
  <c r="M9" i="5"/>
  <c r="M4" i="5"/>
  <c r="L21" i="5"/>
  <c r="D22" i="3" s="1"/>
  <c r="E22" i="3" s="1"/>
  <c r="F22" i="3" s="1"/>
  <c r="L22" i="5"/>
  <c r="D23" i="3" s="1"/>
  <c r="E23" i="3" s="1"/>
  <c r="F23" i="3" s="1"/>
  <c r="L23" i="5"/>
  <c r="D24" i="3" s="1"/>
  <c r="E24" i="3" s="1"/>
  <c r="F24" i="3" s="1"/>
  <c r="L24" i="5"/>
  <c r="D25" i="4" s="1"/>
  <c r="L25" i="5"/>
  <c r="D26" i="3" s="1"/>
  <c r="E26" i="3" s="1"/>
  <c r="F26" i="3" s="1"/>
  <c r="L20" i="5"/>
  <c r="D21" i="3" s="1"/>
  <c r="E21" i="3" s="1"/>
  <c r="F21" i="3" s="1"/>
  <c r="L13" i="5"/>
  <c r="D14" i="4" s="1"/>
  <c r="L14" i="5"/>
  <c r="D15" i="3" s="1"/>
  <c r="E15" i="3" s="1"/>
  <c r="F15" i="3" s="1"/>
  <c r="L15" i="5"/>
  <c r="D16" i="4" s="1"/>
  <c r="L16" i="5"/>
  <c r="D17" i="4" s="1"/>
  <c r="L17" i="5"/>
  <c r="D18" i="4" s="1"/>
  <c r="L12" i="5"/>
  <c r="D13" i="3" s="1"/>
  <c r="E13" i="3" s="1"/>
  <c r="F13" i="3" s="1"/>
  <c r="L5" i="5"/>
  <c r="D6" i="4" s="1"/>
  <c r="L6" i="5"/>
  <c r="D7" i="3" s="1"/>
  <c r="E7" i="3" s="1"/>
  <c r="F7" i="3" s="1"/>
  <c r="L7" i="5"/>
  <c r="D8" i="3" s="1"/>
  <c r="E8" i="3" s="1"/>
  <c r="F8" i="3" s="1"/>
  <c r="L8" i="5"/>
  <c r="D9" i="3" s="1"/>
  <c r="E9" i="3" s="1"/>
  <c r="F9" i="3" s="1"/>
  <c r="L9" i="5"/>
  <c r="D10" i="4" s="1"/>
  <c r="L4" i="5"/>
  <c r="D5" i="3" s="1"/>
  <c r="E5" i="3" s="1"/>
  <c r="F5" i="3" s="1"/>
  <c r="K21" i="5"/>
  <c r="K22" i="5"/>
  <c r="K23" i="5"/>
  <c r="K24" i="5"/>
  <c r="K25" i="5"/>
  <c r="K20" i="5"/>
  <c r="K13" i="5"/>
  <c r="K14" i="5"/>
  <c r="K15" i="5"/>
  <c r="K16" i="5"/>
  <c r="K17" i="5"/>
  <c r="K12" i="5"/>
  <c r="K5" i="5"/>
  <c r="K6" i="5"/>
  <c r="K7" i="5"/>
  <c r="K8" i="5"/>
  <c r="K9" i="5"/>
  <c r="K4" i="5"/>
  <c r="F18" i="4" l="1"/>
  <c r="E18" i="4"/>
  <c r="I18" i="4" s="1"/>
  <c r="F14" i="4"/>
  <c r="E14" i="4"/>
  <c r="I14" i="4" s="1"/>
  <c r="F10" i="4"/>
  <c r="E10" i="4"/>
  <c r="I10" i="4" s="1"/>
  <c r="F6" i="4"/>
  <c r="E6" i="4"/>
  <c r="I6" i="4" s="1"/>
  <c r="F16" i="4"/>
  <c r="E16" i="4"/>
  <c r="I16" i="4" s="1"/>
  <c r="E17" i="4"/>
  <c r="I17" i="4" s="1"/>
  <c r="F17" i="4"/>
  <c r="G17" i="4"/>
  <c r="E25" i="4"/>
  <c r="I25" i="4" s="1"/>
  <c r="G25" i="4"/>
  <c r="F25" i="4"/>
  <c r="D22" i="4"/>
  <c r="D9" i="4"/>
  <c r="D18" i="3"/>
  <c r="E18" i="3" s="1"/>
  <c r="F18" i="3" s="1"/>
  <c r="D15" i="4"/>
  <c r="D14" i="3"/>
  <c r="E14" i="3" s="1"/>
  <c r="F14" i="3" s="1"/>
  <c r="D23" i="4"/>
  <c r="D13" i="4"/>
  <c r="D7" i="4"/>
  <c r="D24" i="4"/>
  <c r="D21" i="4"/>
  <c r="D8" i="4"/>
  <c r="G8" i="4" s="1"/>
  <c r="D5" i="4"/>
  <c r="G24" i="4"/>
  <c r="G22" i="4"/>
  <c r="G18" i="4"/>
  <c r="H18" i="4" s="1"/>
  <c r="G16" i="4"/>
  <c r="H16" i="4" s="1"/>
  <c r="G14" i="4"/>
  <c r="G10" i="4"/>
  <c r="G6" i="4"/>
  <c r="G14" i="2"/>
  <c r="F14" i="2"/>
  <c r="D9" i="2"/>
  <c r="E5" i="2"/>
  <c r="L24" i="2"/>
  <c r="D25" i="3"/>
  <c r="E25" i="3" s="1"/>
  <c r="F25" i="3" s="1"/>
  <c r="G25" i="3" s="1"/>
  <c r="H25" i="3" s="1"/>
  <c r="D26" i="4"/>
  <c r="L13" i="2"/>
  <c r="L14" i="2"/>
  <c r="D17" i="3"/>
  <c r="E17" i="3" s="1"/>
  <c r="F17" i="3" s="1"/>
  <c r="D16" i="3"/>
  <c r="E16" i="3" s="1"/>
  <c r="F16" i="3" s="1"/>
  <c r="D10" i="3"/>
  <c r="E10" i="3" s="1"/>
  <c r="F10" i="3" s="1"/>
  <c r="D6" i="3"/>
  <c r="E6" i="3" s="1"/>
  <c r="F6" i="3" s="1"/>
  <c r="G26" i="3" l="1"/>
  <c r="H26" i="3" s="1"/>
  <c r="G24" i="3"/>
  <c r="H24" i="3" s="1"/>
  <c r="I24" i="3" s="1"/>
  <c r="G23" i="3"/>
  <c r="H23" i="3" s="1"/>
  <c r="G22" i="3"/>
  <c r="H22" i="3" s="1"/>
  <c r="I22" i="3" s="1"/>
  <c r="G21" i="3"/>
  <c r="H21" i="3" s="1"/>
  <c r="H17" i="4"/>
  <c r="H6" i="4"/>
  <c r="H10" i="4"/>
  <c r="H14" i="4"/>
  <c r="E5" i="4"/>
  <c r="I5" i="4" s="1"/>
  <c r="F5" i="4"/>
  <c r="G5" i="4"/>
  <c r="E7" i="4"/>
  <c r="I7" i="4" s="1"/>
  <c r="F7" i="4"/>
  <c r="G7" i="4"/>
  <c r="E15" i="4"/>
  <c r="I15" i="4" s="1"/>
  <c r="G15" i="4"/>
  <c r="F15" i="4"/>
  <c r="H25" i="4"/>
  <c r="E13" i="4"/>
  <c r="I13" i="4" s="1"/>
  <c r="F13" i="4"/>
  <c r="G13" i="4"/>
  <c r="G16" i="3"/>
  <c r="H16" i="3" s="1"/>
  <c r="I16" i="3" s="1"/>
  <c r="J16" i="3" s="1"/>
  <c r="K16" i="3" s="1"/>
  <c r="E21" i="4"/>
  <c r="I21" i="4" s="1"/>
  <c r="F21" i="4"/>
  <c r="G21" i="4"/>
  <c r="E9" i="4"/>
  <c r="I9" i="4" s="1"/>
  <c r="F9" i="4"/>
  <c r="G9" i="4"/>
  <c r="F8" i="4"/>
  <c r="H8" i="4" s="1"/>
  <c r="E8" i="4"/>
  <c r="I8" i="4" s="1"/>
  <c r="E23" i="4"/>
  <c r="I23" i="4" s="1"/>
  <c r="F23" i="4"/>
  <c r="G23" i="4"/>
  <c r="F24" i="4"/>
  <c r="H24" i="4" s="1"/>
  <c r="E24" i="4"/>
  <c r="I24" i="4" s="1"/>
  <c r="F22" i="4"/>
  <c r="H22" i="4" s="1"/>
  <c r="E22" i="4"/>
  <c r="I22" i="4" s="1"/>
  <c r="L21" i="2"/>
  <c r="L25" i="2"/>
  <c r="E26" i="4"/>
  <c r="I26" i="4" s="1"/>
  <c r="G26" i="4"/>
  <c r="F26" i="4"/>
  <c r="L23" i="2"/>
  <c r="L22" i="2"/>
  <c r="L26" i="2"/>
  <c r="L18" i="2"/>
  <c r="G17" i="3"/>
  <c r="H17" i="3" s="1"/>
  <c r="I17" i="3" s="1"/>
  <c r="J17" i="3" s="1"/>
  <c r="K17" i="3" s="1"/>
  <c r="G13" i="3"/>
  <c r="G15" i="3"/>
  <c r="H15" i="3" s="1"/>
  <c r="I15" i="3" s="1"/>
  <c r="J15" i="3" s="1"/>
  <c r="K15" i="3" s="1"/>
  <c r="L15" i="2"/>
  <c r="G14" i="3"/>
  <c r="H14" i="3" s="1"/>
  <c r="I14" i="3" s="1"/>
  <c r="J14" i="3" s="1"/>
  <c r="K14" i="3" s="1"/>
  <c r="L16" i="2"/>
  <c r="G18" i="3"/>
  <c r="H18" i="3" s="1"/>
  <c r="I18" i="3" s="1"/>
  <c r="L17" i="2"/>
  <c r="L5" i="2"/>
  <c r="L9" i="2"/>
  <c r="L6" i="2"/>
  <c r="L10" i="2"/>
  <c r="L7" i="2"/>
  <c r="L8" i="2"/>
  <c r="G7" i="3"/>
  <c r="H7" i="3" s="1"/>
  <c r="I7" i="3" s="1"/>
  <c r="J7" i="3" s="1"/>
  <c r="K7" i="3" s="1"/>
  <c r="G8" i="3"/>
  <c r="H8" i="3" s="1"/>
  <c r="I8" i="3" s="1"/>
  <c r="J8" i="3" s="1"/>
  <c r="K8" i="3" s="1"/>
  <c r="G5" i="3"/>
  <c r="H5" i="3" s="1"/>
  <c r="I5" i="3" s="1"/>
  <c r="J5" i="3" s="1"/>
  <c r="K5" i="3" s="1"/>
  <c r="G6" i="3"/>
  <c r="H6" i="3" s="1"/>
  <c r="I6" i="3" s="1"/>
  <c r="J6" i="3" s="1"/>
  <c r="K6" i="3" s="1"/>
  <c r="G9" i="3"/>
  <c r="H9" i="3" s="1"/>
  <c r="I9" i="3" s="1"/>
  <c r="J9" i="3" s="1"/>
  <c r="K9" i="3" s="1"/>
  <c r="G10" i="3"/>
  <c r="H10" i="3" s="1"/>
  <c r="I10" i="3" s="1"/>
  <c r="J10" i="3" s="1"/>
  <c r="K10" i="3" s="1"/>
  <c r="G27" i="3" l="1"/>
  <c r="H27" i="3"/>
  <c r="J18" i="3"/>
  <c r="K18" i="3" s="1"/>
  <c r="H23" i="4"/>
  <c r="H21" i="4"/>
  <c r="H13" i="4"/>
  <c r="J22" i="3"/>
  <c r="K22" i="3" s="1"/>
  <c r="H9" i="4"/>
  <c r="H5" i="4"/>
  <c r="J24" i="3"/>
  <c r="K24" i="3" s="1"/>
  <c r="H15" i="4"/>
  <c r="H7" i="4"/>
  <c r="I23" i="3"/>
  <c r="J23" i="3"/>
  <c r="K23" i="3" s="1"/>
  <c r="H26" i="4"/>
  <c r="I26" i="3"/>
  <c r="J26" i="3" s="1"/>
  <c r="K26" i="3" s="1"/>
  <c r="H13" i="3"/>
  <c r="I13" i="3" s="1"/>
  <c r="J13" i="3" s="1"/>
  <c r="K13" i="3" s="1"/>
  <c r="G19" i="3"/>
  <c r="H19" i="3" s="1"/>
  <c r="G11" i="3"/>
  <c r="H11" i="3" s="1"/>
  <c r="K27" i="3" l="1"/>
  <c r="K19" i="3"/>
  <c r="I25" i="3"/>
  <c r="J25" i="3"/>
  <c r="K25" i="3" s="1"/>
  <c r="I21" i="3"/>
  <c r="J21" i="3" s="1"/>
  <c r="K21" i="3" s="1"/>
  <c r="M22" i="3" l="1"/>
  <c r="N22" i="3" s="1"/>
  <c r="O22" i="3" s="1"/>
  <c r="M23" i="3"/>
  <c r="N23" i="3" s="1"/>
  <c r="O23" i="3" s="1"/>
  <c r="M21" i="3"/>
  <c r="N21" i="3" s="1"/>
  <c r="O21" i="3" s="1"/>
  <c r="M24" i="3"/>
  <c r="N24" i="3" s="1"/>
  <c r="O24" i="3" s="1"/>
  <c r="M25" i="3"/>
  <c r="N25" i="3" s="1"/>
  <c r="O25" i="3" s="1"/>
  <c r="M14" i="3"/>
  <c r="N14" i="3" s="1"/>
  <c r="O14" i="3" s="1"/>
  <c r="M13" i="3"/>
  <c r="N13" i="3" s="1"/>
  <c r="O13" i="3" s="1"/>
  <c r="M16" i="3"/>
  <c r="N16" i="3" s="1"/>
  <c r="O16" i="3" s="1"/>
  <c r="M17" i="3"/>
  <c r="N17" i="3" s="1"/>
  <c r="O17" i="3" s="1"/>
  <c r="M15" i="3"/>
  <c r="N15" i="3" s="1"/>
  <c r="O15" i="3" s="1"/>
  <c r="M9" i="3"/>
  <c r="N9" i="3" s="1"/>
  <c r="O9" i="3" s="1"/>
  <c r="M8" i="3"/>
  <c r="N8" i="3" s="1"/>
  <c r="O8" i="3" s="1"/>
  <c r="K11" i="3"/>
  <c r="M6" i="3" s="1"/>
  <c r="N6" i="3" s="1"/>
  <c r="O6" i="3" s="1"/>
  <c r="M5" i="3"/>
  <c r="N5" i="3" s="1"/>
  <c r="O5" i="3" s="1"/>
  <c r="M7" i="3" l="1"/>
  <c r="N7" i="3" s="1"/>
  <c r="O7" i="3" s="1"/>
</calcChain>
</file>

<file path=xl/sharedStrings.xml><?xml version="1.0" encoding="utf-8"?>
<sst xmlns="http://schemas.openxmlformats.org/spreadsheetml/2006/main" count="219" uniqueCount="74">
  <si>
    <t>Retail Allocation Analysis</t>
  </si>
  <si>
    <t>Parameter</t>
  </si>
  <si>
    <t>Notes</t>
  </si>
  <si>
    <t>Value</t>
  </si>
  <si>
    <t>Supplier Lead Time (weeks)</t>
  </si>
  <si>
    <t>Safety Stock (weeks)</t>
  </si>
  <si>
    <t>Critical WOS Threshold</t>
  </si>
  <si>
    <t>Low WOS Threshold</t>
  </si>
  <si>
    <t>Healthy WOS Threshold</t>
  </si>
  <si>
    <t>Sell-Through Target</t>
  </si>
  <si>
    <t>Incoming Shipment SKU-001</t>
  </si>
  <si>
    <t>Incoming Shipment SKU-002</t>
  </si>
  <si>
    <t>Incoming Shipment SKU-003</t>
  </si>
  <si>
    <t>Weeks from order to delivery</t>
  </si>
  <si>
    <t>Buffer above reorder point</t>
  </si>
  <si>
    <t>Below this = Critical</t>
  </si>
  <si>
    <t>Below this = Low</t>
  </si>
  <si>
    <t>Above this = Healthy</t>
  </si>
  <si>
    <t>Target % sold each week</t>
  </si>
  <si>
    <t>Units to allocate</t>
  </si>
  <si>
    <t>Store / SKU</t>
  </si>
  <si>
    <t>Wk1</t>
  </si>
  <si>
    <t>Wk2</t>
  </si>
  <si>
    <t>Wk3</t>
  </si>
  <si>
    <t>Wk4</t>
  </si>
  <si>
    <t>Wk5</t>
  </si>
  <si>
    <t>Wk6</t>
  </si>
  <si>
    <t>Wk7</t>
  </si>
  <si>
    <t>Wk8</t>
  </si>
  <si>
    <t>8-Wk Total</t>
  </si>
  <si>
    <t>Avg Weekly Sales</t>
  </si>
  <si>
    <t>Max Weekly Sales</t>
  </si>
  <si>
    <t xml:space="preserve">  SKU-001</t>
  </si>
  <si>
    <t xml:space="preserve">  Store 1 - Toronto</t>
  </si>
  <si>
    <t xml:space="preserve">  Store 2 - Mississauga</t>
  </si>
  <si>
    <t xml:space="preserve">  Store 3 - Brampton</t>
  </si>
  <si>
    <t xml:space="preserve">  Store 4 - Oakville</t>
  </si>
  <si>
    <t xml:space="preserve">  Store 5 - Vaughan</t>
  </si>
  <si>
    <t xml:space="preserve">  Store 6 - Scarborough</t>
  </si>
  <si>
    <t xml:space="preserve">  SKU-002</t>
  </si>
  <si>
    <t xml:space="preserve">  SKU-003</t>
  </si>
  <si>
    <t>Sales History - Weekly Units Sold by Store &amp; SKU</t>
  </si>
  <si>
    <t>Inventory Health &amp; Replenishment Triggers</t>
  </si>
  <si>
    <t>Current
Inventory</t>
  </si>
  <si>
    <t>Avg Weekly
Sales</t>
  </si>
  <si>
    <t>Weeks of
Supply</t>
  </si>
  <si>
    <t>Reorder
Point</t>
  </si>
  <si>
    <t>Safety
Stock</t>
  </si>
  <si>
    <t>Inventory
vs Reorder</t>
  </si>
  <si>
    <t>Status</t>
  </si>
  <si>
    <t>Store</t>
  </si>
  <si>
    <t>Inverse
WOS</t>
  </si>
  <si>
    <t>% of Total
Allocation</t>
  </si>
  <si>
    <t>Units After
Allocation</t>
  </si>
  <si>
    <t>New WOS</t>
  </si>
  <si>
    <t>Allocation Calculator -  Inverse Weeks of Supply Method</t>
  </si>
  <si>
    <t>Supply Gap Flag</t>
  </si>
  <si>
    <t>Allocation
Units</t>
  </si>
  <si>
    <t>Recommended Units</t>
  </si>
  <si>
    <t>Opening
Stock</t>
  </si>
  <si>
    <t>Wk1
Sell-Thru%</t>
  </si>
  <si>
    <t>Wk2
Sell-Thru%</t>
  </si>
  <si>
    <t>Wk3
Sell-Thru%</t>
  </si>
  <si>
    <t>Wk4
Sell-Thru%</t>
  </si>
  <si>
    <t>Wk5
Sell-Thru%</t>
  </si>
  <si>
    <t>Wk6
Sell-Thru%</t>
  </si>
  <si>
    <t>Wk7
Sell-Thru%</t>
  </si>
  <si>
    <t>Wk8
Sell-Thru%</t>
  </si>
  <si>
    <t>Avg 8-Wk
Sell-Thru%</t>
  </si>
  <si>
    <t>Sell-Through Analysis - Weekly % by Store &amp; SKU</t>
  </si>
  <si>
    <t>SKU</t>
  </si>
  <si>
    <t xml:space="preserve">Store </t>
  </si>
  <si>
    <t>Units After</t>
  </si>
  <si>
    <t>WOS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</si>
</sst>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6AA59C"/>
      <name val="Times New Roman"/>
      <family val="1"/>
    </font>
    <font>
      <b/>
      <sz val="11"/>
      <color rgb="FF6AA59C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AA59C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5" fillId="2" borderId="0" xfId="0" applyFont="1" applyFill="1"/>
    <xf numFmtId="0" fontId="4" fillId="2" borderId="0" xfId="0" applyFont="1" applyFill="1"/>
    <xf numFmtId="164" fontId="2" fillId="2" borderId="0" xfId="0" applyNumberFormat="1" applyFont="1" applyFill="1"/>
    <xf numFmtId="9" fontId="2" fillId="2" borderId="0" xfId="1" applyFont="1" applyFill="1"/>
    <xf numFmtId="1" fontId="2" fillId="2" borderId="0" xfId="0" applyNumberFormat="1" applyFont="1" applyFill="1"/>
    <xf numFmtId="0" fontId="5" fillId="2" borderId="1" xfId="0" applyFont="1" applyFill="1" applyBorder="1"/>
    <xf numFmtId="0" fontId="2" fillId="2" borderId="2" xfId="0" applyFont="1" applyFill="1" applyBorder="1"/>
    <xf numFmtId="1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1" fontId="2" fillId="2" borderId="0" xfId="0" applyNumberFormat="1" applyFont="1" applyFill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  <xf numFmtId="1" fontId="2" fillId="2" borderId="8" xfId="0" applyNumberFormat="1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1" xfId="0" applyFont="1" applyFill="1" applyBorder="1"/>
    <xf numFmtId="1" fontId="6" fillId="2" borderId="10" xfId="0" applyNumberFormat="1" applyFont="1" applyFill="1" applyBorder="1" applyAlignment="1">
      <alignment horizontal="center"/>
    </xf>
    <xf numFmtId="1" fontId="6" fillId="2" borderId="11" xfId="0" applyNumberFormat="1" applyFont="1" applyFill="1" applyBorder="1" applyAlignment="1">
      <alignment horizontal="center"/>
    </xf>
    <xf numFmtId="164" fontId="6" fillId="2" borderId="11" xfId="0" applyNumberFormat="1" applyFont="1" applyFill="1" applyBorder="1" applyAlignment="1">
      <alignment horizontal="center"/>
    </xf>
    <xf numFmtId="9" fontId="6" fillId="2" borderId="11" xfId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/>
    <xf numFmtId="2" fontId="2" fillId="3" borderId="0" xfId="0" applyNumberFormat="1" applyFont="1" applyFill="1"/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" fillId="0" borderId="0" xfId="0" applyFont="1"/>
    <xf numFmtId="0" fontId="2" fillId="2" borderId="3" xfId="0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2" fontId="2" fillId="2" borderId="0" xfId="0" applyNumberFormat="1" applyFont="1" applyFill="1"/>
    <xf numFmtId="1" fontId="2" fillId="3" borderId="0" xfId="0" applyNumberFormat="1" applyFont="1" applyFill="1"/>
    <xf numFmtId="0" fontId="2" fillId="2" borderId="3" xfId="0" applyFont="1" applyFill="1" applyBorder="1"/>
    <xf numFmtId="2" fontId="2" fillId="2" borderId="3" xfId="0" applyNumberFormat="1" applyFont="1" applyFill="1" applyBorder="1"/>
    <xf numFmtId="1" fontId="2" fillId="2" borderId="3" xfId="0" applyNumberFormat="1" applyFont="1" applyFill="1" applyBorder="1"/>
    <xf numFmtId="164" fontId="2" fillId="2" borderId="3" xfId="0" applyNumberFormat="1" applyFont="1" applyFill="1" applyBorder="1"/>
    <xf numFmtId="0" fontId="2" fillId="2" borderId="8" xfId="0" applyFont="1" applyFill="1" applyBorder="1"/>
    <xf numFmtId="2" fontId="2" fillId="2" borderId="8" xfId="0" applyNumberFormat="1" applyFont="1" applyFill="1" applyBorder="1"/>
    <xf numFmtId="1" fontId="2" fillId="2" borderId="8" xfId="0" applyNumberFormat="1" applyFont="1" applyFill="1" applyBorder="1"/>
    <xf numFmtId="164" fontId="2" fillId="2" borderId="8" xfId="0" applyNumberFormat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12" xfId="0" applyFont="1" applyFill="1" applyBorder="1"/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9" fontId="2" fillId="3" borderId="6" xfId="1" applyFont="1" applyFill="1" applyBorder="1"/>
    <xf numFmtId="9" fontId="2" fillId="3" borderId="9" xfId="1" applyFont="1" applyFill="1" applyBorder="1"/>
    <xf numFmtId="0" fontId="2" fillId="3" borderId="4" xfId="0" applyFont="1" applyFill="1" applyBorder="1"/>
    <xf numFmtId="9" fontId="2" fillId="2" borderId="0" xfId="1" applyFont="1" applyFill="1" applyBorder="1"/>
    <xf numFmtId="9" fontId="2" fillId="2" borderId="8" xfId="1" applyFont="1" applyFill="1" applyBorder="1"/>
    <xf numFmtId="9" fontId="2" fillId="2" borderId="3" xfId="1" applyFont="1" applyFill="1" applyBorder="1"/>
    <xf numFmtId="0" fontId="6" fillId="2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left"/>
    </xf>
    <xf numFmtId="0" fontId="2" fillId="2" borderId="13" xfId="0" applyFont="1" applyFill="1" applyBorder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1" fontId="2" fillId="3" borderId="0" xfId="0" applyNumberFormat="1" applyFont="1" applyFill="1" applyBorder="1"/>
    <xf numFmtId="0" fontId="2" fillId="2" borderId="9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3" borderId="2" xfId="0" applyFont="1" applyFill="1" applyBorder="1"/>
    <xf numFmtId="0" fontId="5" fillId="4" borderId="0" xfId="0" applyFont="1" applyFill="1"/>
    <xf numFmtId="0" fontId="5" fillId="4" borderId="5" xfId="0" applyFont="1" applyFill="1" applyBorder="1"/>
    <xf numFmtId="0" fontId="5" fillId="4" borderId="6" xfId="0" applyFont="1" applyFill="1" applyBorder="1"/>
    <xf numFmtId="1" fontId="2" fillId="4" borderId="3" xfId="0" applyNumberFormat="1" applyFont="1" applyFill="1" applyBorder="1"/>
    <xf numFmtId="1" fontId="2" fillId="4" borderId="5" xfId="0" applyNumberFormat="1" applyFont="1" applyFill="1" applyBorder="1"/>
    <xf numFmtId="164" fontId="2" fillId="4" borderId="6" xfId="0" applyNumberFormat="1" applyFont="1" applyFill="1" applyBorder="1"/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AA59C"/>
      <color rgb="FFFF3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D753-8441-4334-9995-494507AF42D2}">
  <dimension ref="A1:E13"/>
  <sheetViews>
    <sheetView workbookViewId="0">
      <selection activeCell="B12" sqref="B12"/>
    </sheetView>
  </sheetViews>
  <sheetFormatPr defaultRowHeight="13.8" x14ac:dyDescent="0.25"/>
  <cols>
    <col min="1" max="1" width="26.109375" style="1" customWidth="1"/>
    <col min="2" max="2" width="10.33203125" style="1" customWidth="1"/>
    <col min="3" max="3" width="36.21875" style="1" bestFit="1" customWidth="1"/>
    <col min="4" max="16384" width="8.88671875" style="1"/>
  </cols>
  <sheetData>
    <row r="1" spans="1:5" ht="24.6" x14ac:dyDescent="0.4">
      <c r="A1" s="63" t="s">
        <v>0</v>
      </c>
      <c r="B1" s="63"/>
      <c r="C1" s="63"/>
      <c r="D1" s="3"/>
      <c r="E1" s="3"/>
    </row>
    <row r="3" spans="1:5" s="2" customFormat="1" x14ac:dyDescent="0.25">
      <c r="A3" s="7" t="s">
        <v>1</v>
      </c>
      <c r="B3" s="22" t="s">
        <v>3</v>
      </c>
      <c r="C3" s="7" t="s">
        <v>2</v>
      </c>
    </row>
    <row r="4" spans="1:5" x14ac:dyDescent="0.25">
      <c r="A4" s="16" t="s">
        <v>4</v>
      </c>
      <c r="B4" s="18">
        <v>1</v>
      </c>
      <c r="C4" s="10" t="s">
        <v>13</v>
      </c>
    </row>
    <row r="5" spans="1:5" x14ac:dyDescent="0.25">
      <c r="A5" s="17" t="s">
        <v>5</v>
      </c>
      <c r="B5" s="19">
        <v>2</v>
      </c>
      <c r="C5" s="13" t="s">
        <v>14</v>
      </c>
    </row>
    <row r="6" spans="1:5" x14ac:dyDescent="0.25">
      <c r="A6" s="17" t="s">
        <v>6</v>
      </c>
      <c r="B6" s="20">
        <v>1</v>
      </c>
      <c r="C6" s="13" t="s">
        <v>15</v>
      </c>
    </row>
    <row r="7" spans="1:5" x14ac:dyDescent="0.25">
      <c r="A7" s="17" t="s">
        <v>7</v>
      </c>
      <c r="B7" s="20">
        <v>2</v>
      </c>
      <c r="C7" s="13" t="s">
        <v>16</v>
      </c>
    </row>
    <row r="8" spans="1:5" x14ac:dyDescent="0.25">
      <c r="A8" s="17" t="s">
        <v>8</v>
      </c>
      <c r="B8" s="20">
        <v>3</v>
      </c>
      <c r="C8" s="13" t="s">
        <v>17</v>
      </c>
    </row>
    <row r="9" spans="1:5" x14ac:dyDescent="0.25">
      <c r="A9" s="17" t="s">
        <v>9</v>
      </c>
      <c r="B9" s="21">
        <v>0.7</v>
      </c>
      <c r="C9" s="13" t="s">
        <v>18</v>
      </c>
    </row>
    <row r="10" spans="1:5" x14ac:dyDescent="0.25">
      <c r="A10" s="17" t="s">
        <v>10</v>
      </c>
      <c r="B10" s="19">
        <v>600</v>
      </c>
      <c r="C10" s="13" t="s">
        <v>19</v>
      </c>
    </row>
    <row r="11" spans="1:5" x14ac:dyDescent="0.25">
      <c r="A11" s="17" t="s">
        <v>11</v>
      </c>
      <c r="B11" s="19">
        <v>400</v>
      </c>
      <c r="C11" s="13" t="s">
        <v>19</v>
      </c>
    </row>
    <row r="12" spans="1:5" x14ac:dyDescent="0.25">
      <c r="A12" s="17" t="s">
        <v>12</v>
      </c>
      <c r="B12" s="19">
        <v>250</v>
      </c>
      <c r="C12" s="13" t="s">
        <v>19</v>
      </c>
    </row>
    <row r="13" spans="1:5" x14ac:dyDescent="0.25">
      <c r="A13" s="39"/>
      <c r="B13" s="59"/>
      <c r="C13" s="39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CA25-CF84-452D-BDB6-56619F2A8E3F}">
  <dimension ref="A1:M25"/>
  <sheetViews>
    <sheetView workbookViewId="0">
      <selection activeCell="O17" sqref="O17"/>
    </sheetView>
  </sheetViews>
  <sheetFormatPr defaultRowHeight="13.8" x14ac:dyDescent="0.25"/>
  <cols>
    <col min="1" max="2" width="20" style="1" bestFit="1" customWidth="1"/>
    <col min="3" max="9" width="8.88671875" style="1"/>
    <col min="10" max="10" width="17" style="1" customWidth="1"/>
    <col min="11" max="11" width="21.33203125" style="1" customWidth="1"/>
    <col min="12" max="12" width="16" style="1" bestFit="1" customWidth="1"/>
    <col min="13" max="16384" width="8.88671875" style="1"/>
  </cols>
  <sheetData>
    <row r="1" spans="1:13" ht="25.2" x14ac:dyDescent="0.45">
      <c r="A1" s="24"/>
      <c r="B1" s="62" t="s">
        <v>41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x14ac:dyDescent="0.25">
      <c r="A2" s="47" t="s">
        <v>70</v>
      </c>
      <c r="B2" s="49" t="s">
        <v>20</v>
      </c>
      <c r="C2" s="50" t="s">
        <v>21</v>
      </c>
      <c r="D2" s="50" t="s">
        <v>22</v>
      </c>
      <c r="E2" s="50" t="s">
        <v>23</v>
      </c>
      <c r="F2" s="50" t="s">
        <v>24</v>
      </c>
      <c r="G2" s="50" t="s">
        <v>25</v>
      </c>
      <c r="H2" s="50" t="s">
        <v>26</v>
      </c>
      <c r="I2" s="50" t="s">
        <v>27</v>
      </c>
      <c r="J2" s="50" t="s">
        <v>28</v>
      </c>
      <c r="K2" s="50" t="s">
        <v>29</v>
      </c>
      <c r="L2" s="50" t="s">
        <v>30</v>
      </c>
      <c r="M2" s="51" t="s">
        <v>31</v>
      </c>
    </row>
    <row r="3" spans="1:13" x14ac:dyDescent="0.25">
      <c r="A3" s="28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25">
      <c r="A4" s="8" t="s">
        <v>32</v>
      </c>
      <c r="B4" s="1" t="s">
        <v>33</v>
      </c>
      <c r="C4" s="23">
        <v>72</v>
      </c>
      <c r="D4" s="23">
        <v>78</v>
      </c>
      <c r="E4" s="23">
        <v>81</v>
      </c>
      <c r="F4" s="23">
        <v>98</v>
      </c>
      <c r="G4" s="23">
        <v>105</v>
      </c>
      <c r="H4" s="23">
        <v>89</v>
      </c>
      <c r="I4" s="23">
        <v>82</v>
      </c>
      <c r="J4" s="23">
        <v>75</v>
      </c>
      <c r="K4" s="26">
        <f>SUM(C4:J4)</f>
        <v>680</v>
      </c>
      <c r="L4" s="27">
        <f>AVERAGE(C4:J4)</f>
        <v>85</v>
      </c>
      <c r="M4" s="26">
        <f>MAX(C4:J4)</f>
        <v>105</v>
      </c>
    </row>
    <row r="5" spans="1:13" x14ac:dyDescent="0.25">
      <c r="A5" s="8" t="s">
        <v>32</v>
      </c>
      <c r="B5" s="1" t="s">
        <v>34</v>
      </c>
      <c r="C5" s="23">
        <v>48</v>
      </c>
      <c r="D5" s="23">
        <v>51</v>
      </c>
      <c r="E5" s="23">
        <v>53</v>
      </c>
      <c r="F5" s="23">
        <v>64</v>
      </c>
      <c r="G5" s="23">
        <v>69</v>
      </c>
      <c r="H5" s="23">
        <v>58</v>
      </c>
      <c r="I5" s="23">
        <v>54</v>
      </c>
      <c r="J5" s="23">
        <v>49</v>
      </c>
      <c r="K5" s="26">
        <f t="shared" ref="K5:K9" si="0">SUM(C5:J5)</f>
        <v>446</v>
      </c>
      <c r="L5" s="27">
        <f t="shared" ref="L5:L9" si="1">AVERAGE(C5:J5)</f>
        <v>55.75</v>
      </c>
      <c r="M5" s="26">
        <f t="shared" ref="M5:M9" si="2">MAX(C5:J5)</f>
        <v>69</v>
      </c>
    </row>
    <row r="6" spans="1:13" x14ac:dyDescent="0.25">
      <c r="A6" s="8" t="s">
        <v>32</v>
      </c>
      <c r="B6" s="1" t="s">
        <v>35</v>
      </c>
      <c r="C6" s="23">
        <v>36</v>
      </c>
      <c r="D6" s="23">
        <v>38</v>
      </c>
      <c r="E6" s="23">
        <v>39</v>
      </c>
      <c r="F6" s="23">
        <v>47</v>
      </c>
      <c r="G6" s="23">
        <v>51</v>
      </c>
      <c r="H6" s="23">
        <v>43</v>
      </c>
      <c r="I6" s="23">
        <v>40</v>
      </c>
      <c r="J6" s="23">
        <v>37</v>
      </c>
      <c r="K6" s="26">
        <f t="shared" si="0"/>
        <v>331</v>
      </c>
      <c r="L6" s="27">
        <f t="shared" si="1"/>
        <v>41.375</v>
      </c>
      <c r="M6" s="26">
        <f t="shared" si="2"/>
        <v>51</v>
      </c>
    </row>
    <row r="7" spans="1:13" x14ac:dyDescent="0.25">
      <c r="A7" s="8" t="s">
        <v>32</v>
      </c>
      <c r="B7" s="1" t="s">
        <v>36</v>
      </c>
      <c r="C7" s="23">
        <v>24</v>
      </c>
      <c r="D7" s="23">
        <v>25</v>
      </c>
      <c r="E7" s="23">
        <v>26</v>
      </c>
      <c r="F7" s="23">
        <v>31</v>
      </c>
      <c r="G7" s="23">
        <v>34</v>
      </c>
      <c r="H7" s="23">
        <v>28</v>
      </c>
      <c r="I7" s="23">
        <v>26</v>
      </c>
      <c r="J7" s="23">
        <v>24</v>
      </c>
      <c r="K7" s="26">
        <f t="shared" si="0"/>
        <v>218</v>
      </c>
      <c r="L7" s="27">
        <f t="shared" si="1"/>
        <v>27.25</v>
      </c>
      <c r="M7" s="26">
        <f t="shared" si="2"/>
        <v>34</v>
      </c>
    </row>
    <row r="8" spans="1:13" x14ac:dyDescent="0.25">
      <c r="A8" s="8" t="s">
        <v>32</v>
      </c>
      <c r="B8" s="1" t="s">
        <v>37</v>
      </c>
      <c r="C8" s="23">
        <v>44</v>
      </c>
      <c r="D8" s="23">
        <v>46</v>
      </c>
      <c r="E8" s="23">
        <v>48</v>
      </c>
      <c r="F8" s="23">
        <v>58</v>
      </c>
      <c r="G8" s="23">
        <v>62</v>
      </c>
      <c r="H8" s="23">
        <v>52</v>
      </c>
      <c r="I8" s="23">
        <v>49</v>
      </c>
      <c r="J8" s="23">
        <v>45</v>
      </c>
      <c r="K8" s="26">
        <f t="shared" si="0"/>
        <v>404</v>
      </c>
      <c r="L8" s="27">
        <f t="shared" si="1"/>
        <v>50.5</v>
      </c>
      <c r="M8" s="26">
        <f t="shared" si="2"/>
        <v>62</v>
      </c>
    </row>
    <row r="9" spans="1:13" x14ac:dyDescent="0.25">
      <c r="A9" s="8" t="s">
        <v>32</v>
      </c>
      <c r="B9" s="1" t="s">
        <v>38</v>
      </c>
      <c r="C9" s="23">
        <v>15</v>
      </c>
      <c r="D9" s="23">
        <v>15</v>
      </c>
      <c r="E9" s="23">
        <v>16</v>
      </c>
      <c r="F9" s="23">
        <v>18</v>
      </c>
      <c r="G9" s="23">
        <v>19</v>
      </c>
      <c r="H9" s="23">
        <v>17</v>
      </c>
      <c r="I9" s="23">
        <v>16</v>
      </c>
      <c r="J9" s="23">
        <v>15</v>
      </c>
      <c r="K9" s="26">
        <f t="shared" si="0"/>
        <v>131</v>
      </c>
      <c r="L9" s="27">
        <f t="shared" si="1"/>
        <v>16.375</v>
      </c>
      <c r="M9" s="26">
        <f t="shared" si="2"/>
        <v>19</v>
      </c>
    </row>
    <row r="10" spans="1:13" x14ac:dyDescent="0.25"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3" x14ac:dyDescent="0.25"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13" x14ac:dyDescent="0.25">
      <c r="A12" s="8" t="s">
        <v>39</v>
      </c>
      <c r="B12" s="1" t="s">
        <v>33</v>
      </c>
      <c r="C12" s="23">
        <v>48</v>
      </c>
      <c r="D12" s="23">
        <v>51</v>
      </c>
      <c r="E12" s="23">
        <v>53</v>
      </c>
      <c r="F12" s="23">
        <v>65</v>
      </c>
      <c r="G12" s="23">
        <v>70</v>
      </c>
      <c r="H12" s="23">
        <v>59</v>
      </c>
      <c r="I12" s="23">
        <v>54</v>
      </c>
      <c r="J12" s="23">
        <v>50</v>
      </c>
      <c r="K12" s="26">
        <f>SUM(C12:J12)</f>
        <v>450</v>
      </c>
      <c r="L12" s="27">
        <f>AVERAGE(C12:J12)</f>
        <v>56.25</v>
      </c>
      <c r="M12" s="26">
        <f>MAX(C12:J12)</f>
        <v>70</v>
      </c>
    </row>
    <row r="13" spans="1:13" x14ac:dyDescent="0.25">
      <c r="A13" s="8" t="s">
        <v>39</v>
      </c>
      <c r="B13" s="1" t="s">
        <v>34</v>
      </c>
      <c r="C13" s="23">
        <v>31</v>
      </c>
      <c r="D13" s="23">
        <v>33</v>
      </c>
      <c r="E13" s="23">
        <v>34</v>
      </c>
      <c r="F13" s="23">
        <v>41</v>
      </c>
      <c r="G13" s="23">
        <v>45</v>
      </c>
      <c r="H13" s="23">
        <v>37</v>
      </c>
      <c r="I13" s="23">
        <v>35</v>
      </c>
      <c r="J13" s="23">
        <v>32</v>
      </c>
      <c r="K13" s="26">
        <f t="shared" ref="K13:K17" si="3">SUM(C13:J13)</f>
        <v>288</v>
      </c>
      <c r="L13" s="27">
        <f t="shared" ref="L13:L17" si="4">AVERAGE(C13:J13)</f>
        <v>36</v>
      </c>
      <c r="M13" s="26">
        <f t="shared" ref="M13:M17" si="5">MAX(C13:J13)</f>
        <v>45</v>
      </c>
    </row>
    <row r="14" spans="1:13" x14ac:dyDescent="0.25">
      <c r="A14" s="8" t="s">
        <v>39</v>
      </c>
      <c r="B14" s="1" t="s">
        <v>35</v>
      </c>
      <c r="C14" s="23">
        <v>24</v>
      </c>
      <c r="D14" s="23">
        <v>25</v>
      </c>
      <c r="E14" s="23">
        <v>26</v>
      </c>
      <c r="F14" s="23">
        <v>31</v>
      </c>
      <c r="G14" s="23">
        <v>34</v>
      </c>
      <c r="H14" s="23">
        <v>28</v>
      </c>
      <c r="I14" s="23">
        <v>26</v>
      </c>
      <c r="J14" s="23">
        <v>24</v>
      </c>
      <c r="K14" s="26">
        <f t="shared" si="3"/>
        <v>218</v>
      </c>
      <c r="L14" s="27">
        <f t="shared" si="4"/>
        <v>27.25</v>
      </c>
      <c r="M14" s="26">
        <f t="shared" si="5"/>
        <v>34</v>
      </c>
    </row>
    <row r="15" spans="1:13" x14ac:dyDescent="0.25">
      <c r="A15" s="8" t="s">
        <v>39</v>
      </c>
      <c r="B15" s="1" t="s">
        <v>36</v>
      </c>
      <c r="C15" s="23">
        <v>16</v>
      </c>
      <c r="D15" s="23">
        <v>17</v>
      </c>
      <c r="E15" s="23">
        <v>18</v>
      </c>
      <c r="F15" s="23">
        <v>21</v>
      </c>
      <c r="G15" s="23">
        <v>23</v>
      </c>
      <c r="H15" s="23">
        <v>19</v>
      </c>
      <c r="I15" s="23">
        <v>18</v>
      </c>
      <c r="J15" s="23">
        <v>17</v>
      </c>
      <c r="K15" s="26">
        <f t="shared" si="3"/>
        <v>149</v>
      </c>
      <c r="L15" s="27">
        <f t="shared" si="4"/>
        <v>18.625</v>
      </c>
      <c r="M15" s="26">
        <f t="shared" si="5"/>
        <v>23</v>
      </c>
    </row>
    <row r="16" spans="1:13" x14ac:dyDescent="0.25">
      <c r="A16" s="8" t="s">
        <v>39</v>
      </c>
      <c r="B16" s="1" t="s">
        <v>37</v>
      </c>
      <c r="C16" s="23">
        <v>28</v>
      </c>
      <c r="D16" s="23">
        <v>30</v>
      </c>
      <c r="E16" s="23">
        <v>31</v>
      </c>
      <c r="F16" s="23">
        <v>37</v>
      </c>
      <c r="G16" s="23">
        <v>40</v>
      </c>
      <c r="H16" s="23">
        <v>34</v>
      </c>
      <c r="I16" s="23">
        <v>31</v>
      </c>
      <c r="J16" s="23">
        <v>29</v>
      </c>
      <c r="K16" s="26">
        <f t="shared" si="3"/>
        <v>260</v>
      </c>
      <c r="L16" s="27">
        <f t="shared" si="4"/>
        <v>32.5</v>
      </c>
      <c r="M16" s="26">
        <f t="shared" si="5"/>
        <v>40</v>
      </c>
    </row>
    <row r="17" spans="1:13" x14ac:dyDescent="0.25">
      <c r="A17" s="8" t="s">
        <v>39</v>
      </c>
      <c r="B17" s="1" t="s">
        <v>38</v>
      </c>
      <c r="C17" s="23">
        <v>10</v>
      </c>
      <c r="D17" s="23">
        <v>10</v>
      </c>
      <c r="E17" s="23">
        <v>11</v>
      </c>
      <c r="F17" s="23">
        <v>12</v>
      </c>
      <c r="G17" s="23">
        <v>14</v>
      </c>
      <c r="H17" s="23">
        <v>11</v>
      </c>
      <c r="I17" s="23">
        <v>11</v>
      </c>
      <c r="J17" s="23">
        <v>10</v>
      </c>
      <c r="K17" s="26">
        <f t="shared" si="3"/>
        <v>89</v>
      </c>
      <c r="L17" s="27">
        <f t="shared" si="4"/>
        <v>11.125</v>
      </c>
      <c r="M17" s="26">
        <f t="shared" si="5"/>
        <v>14</v>
      </c>
    </row>
    <row r="18" spans="1:13" x14ac:dyDescent="0.25"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5">
      <c r="B19" s="1" t="s">
        <v>40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x14ac:dyDescent="0.25">
      <c r="A20" s="8" t="s">
        <v>40</v>
      </c>
      <c r="B20" s="1" t="s">
        <v>33</v>
      </c>
      <c r="C20" s="23">
        <v>32</v>
      </c>
      <c r="D20" s="23">
        <v>34</v>
      </c>
      <c r="E20" s="23">
        <v>35</v>
      </c>
      <c r="F20" s="23">
        <v>42</v>
      </c>
      <c r="G20" s="23">
        <v>46</v>
      </c>
      <c r="H20" s="23">
        <v>38</v>
      </c>
      <c r="I20" s="23">
        <v>35</v>
      </c>
      <c r="J20" s="23">
        <v>33</v>
      </c>
      <c r="K20" s="26">
        <f>SUM(C20:J20)</f>
        <v>295</v>
      </c>
      <c r="L20" s="27">
        <f>AVERAGE(C20:J20)</f>
        <v>36.875</v>
      </c>
      <c r="M20" s="26">
        <f>MAX(C20:J20)</f>
        <v>46</v>
      </c>
    </row>
    <row r="21" spans="1:13" x14ac:dyDescent="0.25">
      <c r="A21" s="8" t="s">
        <v>40</v>
      </c>
      <c r="B21" s="1" t="s">
        <v>34</v>
      </c>
      <c r="C21" s="23">
        <v>22</v>
      </c>
      <c r="D21" s="23">
        <v>23</v>
      </c>
      <c r="E21" s="23">
        <v>24</v>
      </c>
      <c r="F21" s="23">
        <v>29</v>
      </c>
      <c r="G21" s="23">
        <v>31</v>
      </c>
      <c r="H21" s="23">
        <v>26</v>
      </c>
      <c r="I21" s="23">
        <v>24</v>
      </c>
      <c r="J21" s="23">
        <v>22</v>
      </c>
      <c r="K21" s="26">
        <f t="shared" ref="K21:K25" si="6">SUM(C21:J21)</f>
        <v>201</v>
      </c>
      <c r="L21" s="27">
        <f t="shared" ref="L21:L25" si="7">AVERAGE(C21:J21)</f>
        <v>25.125</v>
      </c>
      <c r="M21" s="26">
        <f t="shared" ref="M21:M25" si="8">MAX(C21:J21)</f>
        <v>31</v>
      </c>
    </row>
    <row r="22" spans="1:13" x14ac:dyDescent="0.25">
      <c r="A22" s="8" t="s">
        <v>40</v>
      </c>
      <c r="B22" s="1" t="s">
        <v>35</v>
      </c>
      <c r="C22" s="23">
        <v>16</v>
      </c>
      <c r="D22" s="23">
        <v>17</v>
      </c>
      <c r="E22" s="23">
        <v>17</v>
      </c>
      <c r="F22" s="23">
        <v>21</v>
      </c>
      <c r="G22" s="23">
        <v>22</v>
      </c>
      <c r="H22" s="23">
        <v>19</v>
      </c>
      <c r="I22" s="23">
        <v>18</v>
      </c>
      <c r="J22" s="23">
        <v>16</v>
      </c>
      <c r="K22" s="26">
        <f t="shared" si="6"/>
        <v>146</v>
      </c>
      <c r="L22" s="27">
        <f t="shared" si="7"/>
        <v>18.25</v>
      </c>
      <c r="M22" s="26">
        <f t="shared" si="8"/>
        <v>22</v>
      </c>
    </row>
    <row r="23" spans="1:13" x14ac:dyDescent="0.25">
      <c r="A23" s="8" t="s">
        <v>40</v>
      </c>
      <c r="B23" s="1" t="s">
        <v>36</v>
      </c>
      <c r="C23" s="23">
        <v>11</v>
      </c>
      <c r="D23" s="23">
        <v>12</v>
      </c>
      <c r="E23" s="23">
        <v>12</v>
      </c>
      <c r="F23" s="23">
        <v>15</v>
      </c>
      <c r="G23" s="23">
        <v>16</v>
      </c>
      <c r="H23" s="23">
        <v>13</v>
      </c>
      <c r="I23" s="23">
        <v>12</v>
      </c>
      <c r="J23" s="23">
        <v>11</v>
      </c>
      <c r="K23" s="26">
        <f t="shared" si="6"/>
        <v>102</v>
      </c>
      <c r="L23" s="27">
        <f t="shared" si="7"/>
        <v>12.75</v>
      </c>
      <c r="M23" s="26">
        <f t="shared" si="8"/>
        <v>16</v>
      </c>
    </row>
    <row r="24" spans="1:13" x14ac:dyDescent="0.25">
      <c r="A24" s="8" t="s">
        <v>40</v>
      </c>
      <c r="B24" s="1" t="s">
        <v>37</v>
      </c>
      <c r="C24" s="23">
        <v>19</v>
      </c>
      <c r="D24" s="23">
        <v>20</v>
      </c>
      <c r="E24" s="23">
        <v>21</v>
      </c>
      <c r="F24" s="23">
        <v>25</v>
      </c>
      <c r="G24" s="23">
        <v>27</v>
      </c>
      <c r="H24" s="23">
        <v>23</v>
      </c>
      <c r="I24" s="23">
        <v>21</v>
      </c>
      <c r="J24" s="23">
        <v>20</v>
      </c>
      <c r="K24" s="26">
        <f t="shared" si="6"/>
        <v>176</v>
      </c>
      <c r="L24" s="27">
        <f t="shared" si="7"/>
        <v>22</v>
      </c>
      <c r="M24" s="26">
        <f t="shared" si="8"/>
        <v>27</v>
      </c>
    </row>
    <row r="25" spans="1:13" x14ac:dyDescent="0.25">
      <c r="A25" s="8" t="s">
        <v>40</v>
      </c>
      <c r="B25" s="1" t="s">
        <v>38</v>
      </c>
      <c r="C25" s="23">
        <v>6</v>
      </c>
      <c r="D25" s="23">
        <v>6</v>
      </c>
      <c r="E25" s="23">
        <v>7</v>
      </c>
      <c r="F25" s="23">
        <v>8</v>
      </c>
      <c r="G25" s="23">
        <v>9</v>
      </c>
      <c r="H25" s="23">
        <v>7</v>
      </c>
      <c r="I25" s="23">
        <v>7</v>
      </c>
      <c r="J25" s="23">
        <v>6</v>
      </c>
      <c r="K25" s="26">
        <f t="shared" si="6"/>
        <v>56</v>
      </c>
      <c r="L25" s="27">
        <f t="shared" si="7"/>
        <v>7</v>
      </c>
      <c r="M25" s="26">
        <f t="shared" si="8"/>
        <v>9</v>
      </c>
    </row>
  </sheetData>
  <mergeCells count="1">
    <mergeCell ref="B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11C9-CDC5-4F3E-94A2-8C4775DDDA40}">
  <dimension ref="A1:I26"/>
  <sheetViews>
    <sheetView workbookViewId="0">
      <pane ySplit="2" topLeftCell="A4" activePane="bottomLeft" state="frozen"/>
      <selection pane="bottomLeft" activeCell="G5" sqref="G5"/>
    </sheetView>
  </sheetViews>
  <sheetFormatPr defaultRowHeight="13.8" x14ac:dyDescent="0.25"/>
  <cols>
    <col min="1" max="2" width="20" style="1" bestFit="1" customWidth="1"/>
    <col min="3" max="3" width="16.6640625" style="1" bestFit="1" customWidth="1"/>
    <col min="4" max="4" width="15.88671875" style="1" bestFit="1" customWidth="1"/>
    <col min="5" max="5" width="13.33203125" style="1" bestFit="1" customWidth="1"/>
    <col min="6" max="6" width="12.21875" style="1" bestFit="1" customWidth="1"/>
    <col min="7" max="8" width="19.33203125" style="1" bestFit="1" customWidth="1"/>
    <col min="9" max="9" width="10.44140625" style="1" bestFit="1" customWidth="1"/>
    <col min="10" max="16384" width="8.88671875" style="1"/>
  </cols>
  <sheetData>
    <row r="1" spans="1:9" ht="24.6" x14ac:dyDescent="0.4">
      <c r="A1" s="24"/>
      <c r="B1" s="63" t="s">
        <v>42</v>
      </c>
      <c r="C1" s="63"/>
      <c r="D1" s="63"/>
      <c r="E1" s="63"/>
      <c r="F1" s="63"/>
      <c r="G1" s="63"/>
      <c r="H1" s="63"/>
      <c r="I1" s="63"/>
    </row>
    <row r="2" spans="1:9" x14ac:dyDescent="0.25">
      <c r="A2" s="47" t="s">
        <v>70</v>
      </c>
      <c r="B2" s="49" t="s">
        <v>20</v>
      </c>
      <c r="C2" s="50" t="s">
        <v>43</v>
      </c>
      <c r="D2" s="50" t="s">
        <v>44</v>
      </c>
      <c r="E2" s="50" t="s">
        <v>45</v>
      </c>
      <c r="F2" s="50" t="s">
        <v>46</v>
      </c>
      <c r="G2" s="50" t="s">
        <v>47</v>
      </c>
      <c r="H2" s="50" t="s">
        <v>48</v>
      </c>
      <c r="I2" s="51" t="s">
        <v>49</v>
      </c>
    </row>
    <row r="3" spans="1:9" x14ac:dyDescent="0.25">
      <c r="A3" s="28"/>
      <c r="C3" s="23"/>
      <c r="D3" s="23"/>
      <c r="E3" s="23"/>
      <c r="F3" s="23"/>
      <c r="G3" s="23"/>
      <c r="H3" s="23"/>
      <c r="I3" s="23"/>
    </row>
    <row r="4" spans="1:9" x14ac:dyDescent="0.25">
      <c r="B4" s="2"/>
      <c r="C4" s="23"/>
      <c r="D4" s="23"/>
      <c r="E4" s="23"/>
      <c r="F4" s="23"/>
      <c r="G4" s="23"/>
      <c r="H4" s="23"/>
      <c r="I4" s="23"/>
    </row>
    <row r="5" spans="1:9" x14ac:dyDescent="0.25">
      <c r="A5" s="8" t="s">
        <v>32</v>
      </c>
      <c r="B5" s="8" t="s">
        <v>33</v>
      </c>
      <c r="C5" s="29">
        <v>8</v>
      </c>
      <c r="D5" s="30">
        <f>'Sales History'!L4</f>
        <v>85</v>
      </c>
      <c r="E5" s="29">
        <f>IFERROR(ROUND(C5/D5,1),0)</f>
        <v>0.1</v>
      </c>
      <c r="F5" s="29">
        <f>ROUND(Assumptions!$B$4*'Inventory &amp; Replenishment'!D5,0)</f>
        <v>85</v>
      </c>
      <c r="G5" s="29">
        <f>ROUND(Assumptions!$B$5*'Inventory &amp; Replenishment'!D5,0)</f>
        <v>170</v>
      </c>
      <c r="H5" s="29">
        <f>F5+G5</f>
        <v>255</v>
      </c>
      <c r="I5" s="31" t="str">
        <f>IF(E5&lt;=Assumptions!$B$6,"CRITICAL",IF(E5&lt;=Assumptions!$B$8,"LOW","HEALTHY"))</f>
        <v>CRITICAL</v>
      </c>
    </row>
    <row r="6" spans="1:9" x14ac:dyDescent="0.25">
      <c r="A6" s="8" t="s">
        <v>32</v>
      </c>
      <c r="B6" s="11" t="s">
        <v>34</v>
      </c>
      <c r="C6" s="23">
        <v>95</v>
      </c>
      <c r="D6" s="32">
        <f>'Sales History'!L5</f>
        <v>55.75</v>
      </c>
      <c r="E6" s="23">
        <f t="shared" ref="E6:E10" si="0">IFERROR(ROUND(C6/D6,1),0)</f>
        <v>1.7</v>
      </c>
      <c r="F6" s="23">
        <f>ROUND(Assumptions!$B$4*'Inventory &amp; Replenishment'!D6,0)</f>
        <v>56</v>
      </c>
      <c r="G6" s="23">
        <f>ROUND(Assumptions!$B$5*'Inventory &amp; Replenishment'!D6,0)</f>
        <v>112</v>
      </c>
      <c r="H6" s="23">
        <f t="shared" ref="H6:H10" si="1">F6+G6</f>
        <v>168</v>
      </c>
      <c r="I6" s="33" t="str">
        <f>IF(E6&lt;=Assumptions!$B$6,"CRITICAL",IF(E6&lt;=Assumptions!$B$8,"LOW","HEALTHY"))</f>
        <v>LOW</v>
      </c>
    </row>
    <row r="7" spans="1:9" x14ac:dyDescent="0.25">
      <c r="A7" s="8" t="s">
        <v>32</v>
      </c>
      <c r="B7" s="11" t="s">
        <v>35</v>
      </c>
      <c r="C7" s="23">
        <v>45</v>
      </c>
      <c r="D7" s="32">
        <f>'Sales History'!L6</f>
        <v>41.375</v>
      </c>
      <c r="E7" s="23">
        <f t="shared" si="0"/>
        <v>1.1000000000000001</v>
      </c>
      <c r="F7" s="23">
        <f>ROUND(Assumptions!$B$4*'Inventory &amp; Replenishment'!D7,0)</f>
        <v>41</v>
      </c>
      <c r="G7" s="23">
        <f>ROUND(Assumptions!$B$5*'Inventory &amp; Replenishment'!D7,0)</f>
        <v>83</v>
      </c>
      <c r="H7" s="23">
        <f t="shared" si="1"/>
        <v>124</v>
      </c>
      <c r="I7" s="33" t="str">
        <f>IF(E7&lt;=Assumptions!$B$6,"CRITICAL",IF(E7&lt;=Assumptions!$B$8,"LOW","HEALTHY"))</f>
        <v>LOW</v>
      </c>
    </row>
    <row r="8" spans="1:9" x14ac:dyDescent="0.25">
      <c r="A8" s="8" t="s">
        <v>32</v>
      </c>
      <c r="B8" s="11" t="s">
        <v>36</v>
      </c>
      <c r="C8" s="23">
        <v>12</v>
      </c>
      <c r="D8" s="32">
        <f>'Sales History'!L7</f>
        <v>27.25</v>
      </c>
      <c r="E8" s="23">
        <f t="shared" si="0"/>
        <v>0.4</v>
      </c>
      <c r="F8" s="23">
        <f>ROUND(Assumptions!$B$4*'Inventory &amp; Replenishment'!D8,0)</f>
        <v>27</v>
      </c>
      <c r="G8" s="23">
        <f>ROUND(Assumptions!$B$5*'Inventory &amp; Replenishment'!D8,0)</f>
        <v>55</v>
      </c>
      <c r="H8" s="23">
        <f t="shared" si="1"/>
        <v>82</v>
      </c>
      <c r="I8" s="33" t="str">
        <f>IF(E8&lt;=Assumptions!$B$6,"CRITICAL",IF(E8&lt;=Assumptions!$B$8,"LOW","HEALTHY"))</f>
        <v>CRITICAL</v>
      </c>
    </row>
    <row r="9" spans="1:9" x14ac:dyDescent="0.25">
      <c r="A9" s="8" t="s">
        <v>32</v>
      </c>
      <c r="B9" s="11" t="s">
        <v>37</v>
      </c>
      <c r="C9" s="23">
        <v>30</v>
      </c>
      <c r="D9" s="32">
        <f>'Sales History'!L8</f>
        <v>50.5</v>
      </c>
      <c r="E9" s="23">
        <f t="shared" si="0"/>
        <v>0.6</v>
      </c>
      <c r="F9" s="23">
        <f>ROUND(Assumptions!$B$4*'Inventory &amp; Replenishment'!D9,0)</f>
        <v>51</v>
      </c>
      <c r="G9" s="23">
        <f>ROUND(Assumptions!$B$5*'Inventory &amp; Replenishment'!D9,0)</f>
        <v>101</v>
      </c>
      <c r="H9" s="23">
        <f t="shared" si="1"/>
        <v>152</v>
      </c>
      <c r="I9" s="33" t="str">
        <f>IF(E9&lt;=Assumptions!$B$6,"CRITICAL",IF(E9&lt;=Assumptions!$B$8,"LOW","HEALTHY"))</f>
        <v>CRITICAL</v>
      </c>
    </row>
    <row r="10" spans="1:9" x14ac:dyDescent="0.25">
      <c r="A10" s="8" t="s">
        <v>32</v>
      </c>
      <c r="B10" s="14" t="s">
        <v>38</v>
      </c>
      <c r="C10" s="34">
        <v>60</v>
      </c>
      <c r="D10" s="35">
        <f>'Sales History'!L9</f>
        <v>16.375</v>
      </c>
      <c r="E10" s="34">
        <f t="shared" si="0"/>
        <v>3.7</v>
      </c>
      <c r="F10" s="34">
        <f>ROUND(Assumptions!$B$4*'Inventory &amp; Replenishment'!D10,0)</f>
        <v>16</v>
      </c>
      <c r="G10" s="34">
        <f>ROUND(Assumptions!$B$5*'Inventory &amp; Replenishment'!D10,0)</f>
        <v>33</v>
      </c>
      <c r="H10" s="34">
        <f t="shared" si="1"/>
        <v>49</v>
      </c>
      <c r="I10" s="36" t="str">
        <f>IF(E10&lt;=Assumptions!$B$6,"CRITICAL",IF(E10&lt;=Assumptions!$B$8,"LOW","HEALTHY"))</f>
        <v>HEALTHY</v>
      </c>
    </row>
    <row r="11" spans="1:9" x14ac:dyDescent="0.25">
      <c r="C11" s="23"/>
      <c r="D11" s="23"/>
      <c r="E11" s="23"/>
      <c r="F11" s="23"/>
      <c r="G11" s="23"/>
      <c r="H11" s="23"/>
      <c r="I11" s="23"/>
    </row>
    <row r="12" spans="1:9" x14ac:dyDescent="0.25">
      <c r="B12" s="2"/>
      <c r="C12" s="23"/>
      <c r="D12" s="23"/>
      <c r="E12" s="23"/>
      <c r="F12" s="23"/>
      <c r="G12" s="23"/>
      <c r="H12" s="23"/>
      <c r="I12" s="23"/>
    </row>
    <row r="13" spans="1:9" x14ac:dyDescent="0.25">
      <c r="A13" s="8" t="s">
        <v>39</v>
      </c>
      <c r="B13" s="8" t="s">
        <v>33</v>
      </c>
      <c r="C13" s="29">
        <v>5</v>
      </c>
      <c r="D13" s="30">
        <f>'Sales History'!L12</f>
        <v>56.25</v>
      </c>
      <c r="E13" s="29">
        <f>IFERROR(ROUND(C13/D13, 1), 0)</f>
        <v>0.1</v>
      </c>
      <c r="F13" s="29">
        <f>ROUND(Assumptions!$B$4*'Inventory &amp; Replenishment'!D13, 0)</f>
        <v>56</v>
      </c>
      <c r="G13" s="9">
        <f>ROUND(Assumptions!$B$5*D13,0)</f>
        <v>113</v>
      </c>
      <c r="H13" s="9">
        <f>F13+G13</f>
        <v>169</v>
      </c>
      <c r="I13" s="31" t="str">
        <f>IF(E13&lt;=Assumptions!$B$6,"CRITICAL",IF(E13&lt;=Assumptions!$B$8,"LOW","HEALTHY"))</f>
        <v>CRITICAL</v>
      </c>
    </row>
    <row r="14" spans="1:9" x14ac:dyDescent="0.25">
      <c r="A14" s="8" t="s">
        <v>39</v>
      </c>
      <c r="B14" s="11" t="s">
        <v>34</v>
      </c>
      <c r="C14" s="23">
        <v>40</v>
      </c>
      <c r="D14" s="32">
        <f>'Sales History'!L13</f>
        <v>36</v>
      </c>
      <c r="E14" s="23">
        <f t="shared" ref="E14:E18" si="2">IFERROR(ROUND(C14/D14, 1), 0)</f>
        <v>1.1000000000000001</v>
      </c>
      <c r="F14" s="23">
        <f>ROUND(Assumptions!$B$4*'Inventory &amp; Replenishment'!D14, 0)</f>
        <v>36</v>
      </c>
      <c r="G14" s="12">
        <f>ROUND(Assumptions!$B$5*D14,0)</f>
        <v>72</v>
      </c>
      <c r="H14" s="12">
        <f t="shared" ref="H14:H18" si="3">F14+G14</f>
        <v>108</v>
      </c>
      <c r="I14" s="33" t="str">
        <f>IF(E14&lt;=Assumptions!$B$6,"CRITICAL",IF(E14&lt;=Assumptions!$B$8,"LOW","HEALTHY"))</f>
        <v>LOW</v>
      </c>
    </row>
    <row r="15" spans="1:9" x14ac:dyDescent="0.25">
      <c r="A15" s="8" t="s">
        <v>39</v>
      </c>
      <c r="B15" s="11" t="s">
        <v>35</v>
      </c>
      <c r="C15" s="23">
        <v>80</v>
      </c>
      <c r="D15" s="32">
        <f>'Sales History'!L14</f>
        <v>27.25</v>
      </c>
      <c r="E15" s="23">
        <f t="shared" si="2"/>
        <v>2.9</v>
      </c>
      <c r="F15" s="23">
        <f>ROUND(Assumptions!$B$4*'Inventory &amp; Replenishment'!D15, 0)</f>
        <v>27</v>
      </c>
      <c r="G15" s="12">
        <f>ROUND(Assumptions!$B$5*D15,0)</f>
        <v>55</v>
      </c>
      <c r="H15" s="12">
        <f t="shared" si="3"/>
        <v>82</v>
      </c>
      <c r="I15" s="33" t="str">
        <f>IF(E15&lt;=Assumptions!$B$6,"CRITICAL",IF(E15&lt;=Assumptions!$B$8,"LOW","HEALTHY"))</f>
        <v>LOW</v>
      </c>
    </row>
    <row r="16" spans="1:9" x14ac:dyDescent="0.25">
      <c r="A16" s="8" t="s">
        <v>39</v>
      </c>
      <c r="B16" s="11" t="s">
        <v>36</v>
      </c>
      <c r="C16" s="23">
        <v>10</v>
      </c>
      <c r="D16" s="32">
        <f>'Sales History'!L15</f>
        <v>18.625</v>
      </c>
      <c r="E16" s="23">
        <f t="shared" si="2"/>
        <v>0.5</v>
      </c>
      <c r="F16" s="23">
        <f>ROUND(Assumptions!$B$4*'Inventory &amp; Replenishment'!D16, 0)</f>
        <v>19</v>
      </c>
      <c r="G16" s="12">
        <f>ROUND(Assumptions!$B$5*D16,0)</f>
        <v>37</v>
      </c>
      <c r="H16" s="12">
        <f t="shared" si="3"/>
        <v>56</v>
      </c>
      <c r="I16" s="33" t="str">
        <f>IF(E16&lt;=Assumptions!$B$6,"CRITICAL",IF(E16&lt;=Assumptions!$B$8,"LOW","HEALTHY"))</f>
        <v>CRITICAL</v>
      </c>
    </row>
    <row r="17" spans="1:9" x14ac:dyDescent="0.25">
      <c r="A17" s="8" t="s">
        <v>39</v>
      </c>
      <c r="B17" s="11" t="s">
        <v>37</v>
      </c>
      <c r="C17" s="23">
        <v>25</v>
      </c>
      <c r="D17" s="32">
        <f>'Sales History'!L16</f>
        <v>32.5</v>
      </c>
      <c r="E17" s="23">
        <f t="shared" si="2"/>
        <v>0.8</v>
      </c>
      <c r="F17" s="23">
        <f>ROUND(Assumptions!$B$4*'Inventory &amp; Replenishment'!D17, 0)</f>
        <v>33</v>
      </c>
      <c r="G17" s="12">
        <f>ROUND(Assumptions!$B$5*D17,0)</f>
        <v>65</v>
      </c>
      <c r="H17" s="12">
        <f t="shared" si="3"/>
        <v>98</v>
      </c>
      <c r="I17" s="33" t="str">
        <f>IF(E17&lt;=Assumptions!$B$6,"CRITICAL",IF(E17&lt;=Assumptions!$B$8,"LOW","HEALTHY"))</f>
        <v>CRITICAL</v>
      </c>
    </row>
    <row r="18" spans="1:9" x14ac:dyDescent="0.25">
      <c r="A18" s="8" t="s">
        <v>39</v>
      </c>
      <c r="B18" s="14" t="s">
        <v>38</v>
      </c>
      <c r="C18" s="34">
        <v>55</v>
      </c>
      <c r="D18" s="35">
        <f>'Sales History'!L17</f>
        <v>11.125</v>
      </c>
      <c r="E18" s="34">
        <f t="shared" si="2"/>
        <v>4.9000000000000004</v>
      </c>
      <c r="F18" s="34">
        <f>ROUND(Assumptions!$B$4*'Inventory &amp; Replenishment'!D18, 0)</f>
        <v>11</v>
      </c>
      <c r="G18" s="15">
        <f>ROUND(Assumptions!$B$5*D18,0)</f>
        <v>22</v>
      </c>
      <c r="H18" s="15">
        <f t="shared" si="3"/>
        <v>33</v>
      </c>
      <c r="I18" s="36" t="str">
        <f>IF(E18&lt;=Assumptions!$B$6,"CRITICAL",IF(E18&lt;=Assumptions!$B$8,"LOW","HEALTHY"))</f>
        <v>HEALTHY</v>
      </c>
    </row>
    <row r="19" spans="1:9" x14ac:dyDescent="0.25">
      <c r="C19" s="23"/>
      <c r="D19" s="23"/>
      <c r="E19" s="23"/>
      <c r="F19" s="23"/>
      <c r="G19" s="23"/>
      <c r="H19" s="23"/>
      <c r="I19" s="23"/>
    </row>
    <row r="20" spans="1:9" x14ac:dyDescent="0.25">
      <c r="B20" s="2"/>
      <c r="C20" s="23"/>
      <c r="D20" s="23"/>
      <c r="E20" s="23"/>
      <c r="F20" s="23"/>
      <c r="G20" s="23"/>
      <c r="H20" s="23"/>
      <c r="I20" s="23"/>
    </row>
    <row r="21" spans="1:9" x14ac:dyDescent="0.25">
      <c r="A21" s="8" t="s">
        <v>40</v>
      </c>
      <c r="B21" s="8" t="s">
        <v>33</v>
      </c>
      <c r="C21" s="29">
        <v>15</v>
      </c>
      <c r="D21" s="30">
        <f>'Sales History'!L20</f>
        <v>36.875</v>
      </c>
      <c r="E21" s="29">
        <f>IFERROR(ROUND(C21/D21, 1), 0)</f>
        <v>0.4</v>
      </c>
      <c r="F21" s="29">
        <f>ROUND(Assumptions!$B$4*'Inventory &amp; Replenishment'!D21,0)</f>
        <v>37</v>
      </c>
      <c r="G21" s="9">
        <f>ROUND(Assumptions!$B$5*D21,0)</f>
        <v>74</v>
      </c>
      <c r="H21" s="9">
        <f>F21+G21</f>
        <v>111</v>
      </c>
      <c r="I21" s="31" t="str">
        <f>IF(E21&lt;=Assumptions!$B$6,"CRITICAL",IF(E21&lt;=Assumptions!$B$8,"LOW","HEALTHY"))</f>
        <v>CRITICAL</v>
      </c>
    </row>
    <row r="22" spans="1:9" x14ac:dyDescent="0.25">
      <c r="A22" s="8" t="s">
        <v>40</v>
      </c>
      <c r="B22" s="11" t="s">
        <v>34</v>
      </c>
      <c r="C22" s="23">
        <v>70</v>
      </c>
      <c r="D22" s="32">
        <f>'Sales History'!L21</f>
        <v>25.125</v>
      </c>
      <c r="E22" s="23">
        <f t="shared" ref="E22:E26" si="4">IFERROR(ROUND(C22/D22, 1), 0)</f>
        <v>2.8</v>
      </c>
      <c r="F22" s="23">
        <f>ROUND(Assumptions!$B$4*'Inventory &amp; Replenishment'!D22,0)</f>
        <v>25</v>
      </c>
      <c r="G22" s="12">
        <f>ROUND(Assumptions!$B$5*D22,0)</f>
        <v>50</v>
      </c>
      <c r="H22" s="12">
        <f t="shared" ref="H22:H26" si="5">F22+G22</f>
        <v>75</v>
      </c>
      <c r="I22" s="33" t="str">
        <f>IF(E22&lt;=Assumptions!$B$6,"CRITICAL",IF(E22&lt;=Assumptions!$B$8,"LOW","HEALTHY"))</f>
        <v>LOW</v>
      </c>
    </row>
    <row r="23" spans="1:9" x14ac:dyDescent="0.25">
      <c r="A23" s="8" t="s">
        <v>40</v>
      </c>
      <c r="B23" s="11" t="s">
        <v>35</v>
      </c>
      <c r="C23" s="23">
        <v>6</v>
      </c>
      <c r="D23" s="32">
        <f>'Sales History'!L22</f>
        <v>18.25</v>
      </c>
      <c r="E23" s="23">
        <f t="shared" si="4"/>
        <v>0.3</v>
      </c>
      <c r="F23" s="23">
        <f>ROUND(Assumptions!$B$4*'Inventory &amp; Replenishment'!D23,0)</f>
        <v>18</v>
      </c>
      <c r="G23" s="12">
        <f>ROUND(Assumptions!$B$5*D23,0)</f>
        <v>37</v>
      </c>
      <c r="H23" s="12">
        <f t="shared" si="5"/>
        <v>55</v>
      </c>
      <c r="I23" s="33" t="str">
        <f>IF(E23&lt;=Assumptions!$B$6,"CRITICAL",IF(E23&lt;=Assumptions!$B$8,"LOW","HEALTHY"))</f>
        <v>CRITICAL</v>
      </c>
    </row>
    <row r="24" spans="1:9" x14ac:dyDescent="0.25">
      <c r="A24" s="8" t="s">
        <v>40</v>
      </c>
      <c r="B24" s="11" t="s">
        <v>36</v>
      </c>
      <c r="C24" s="23">
        <v>35</v>
      </c>
      <c r="D24" s="32">
        <f>'Sales History'!L23</f>
        <v>12.75</v>
      </c>
      <c r="E24" s="23">
        <f t="shared" si="4"/>
        <v>2.7</v>
      </c>
      <c r="F24" s="23">
        <f>ROUND(Assumptions!$B$4*'Inventory &amp; Replenishment'!D24,0)</f>
        <v>13</v>
      </c>
      <c r="G24" s="12">
        <f>ROUND(Assumptions!$B$5*D24,0)</f>
        <v>26</v>
      </c>
      <c r="H24" s="12">
        <f t="shared" si="5"/>
        <v>39</v>
      </c>
      <c r="I24" s="33" t="str">
        <f>IF(E24&lt;=Assumptions!$B$6,"CRITICAL",IF(E24&lt;=Assumptions!$B$8,"LOW","HEALTHY"))</f>
        <v>LOW</v>
      </c>
    </row>
    <row r="25" spans="1:9" x14ac:dyDescent="0.25">
      <c r="A25" s="8" t="s">
        <v>40</v>
      </c>
      <c r="B25" s="11" t="s">
        <v>37</v>
      </c>
      <c r="C25" s="23">
        <v>8</v>
      </c>
      <c r="D25" s="32">
        <f>'Sales History'!L24</f>
        <v>22</v>
      </c>
      <c r="E25" s="23">
        <f t="shared" si="4"/>
        <v>0.4</v>
      </c>
      <c r="F25" s="23">
        <f>ROUND(Assumptions!$B$4*'Inventory &amp; Replenishment'!D25,0)</f>
        <v>22</v>
      </c>
      <c r="G25" s="12">
        <f>ROUND(Assumptions!$B$5*D25,0)</f>
        <v>44</v>
      </c>
      <c r="H25" s="12">
        <f t="shared" si="5"/>
        <v>66</v>
      </c>
      <c r="I25" s="33" t="str">
        <f>IF(E25&lt;=Assumptions!$B$6,"CRITICAL",IF(E25&lt;=Assumptions!$B$8,"LOW","HEALTHY"))</f>
        <v>CRITICAL</v>
      </c>
    </row>
    <row r="26" spans="1:9" x14ac:dyDescent="0.25">
      <c r="A26" s="8" t="s">
        <v>40</v>
      </c>
      <c r="B26" s="14" t="s">
        <v>38</v>
      </c>
      <c r="C26" s="34">
        <v>45</v>
      </c>
      <c r="D26" s="35">
        <f>'Sales History'!L25</f>
        <v>7</v>
      </c>
      <c r="E26" s="34">
        <f t="shared" si="4"/>
        <v>6.4</v>
      </c>
      <c r="F26" s="34">
        <f>ROUND(Assumptions!$B$4*'Inventory &amp; Replenishment'!D26,0)</f>
        <v>7</v>
      </c>
      <c r="G26" s="15">
        <f>ROUND(Assumptions!$B$5*D26,0)</f>
        <v>14</v>
      </c>
      <c r="H26" s="15">
        <f t="shared" si="5"/>
        <v>21</v>
      </c>
      <c r="I26" s="36" t="str">
        <f>IF(E26&lt;=Assumptions!$B$6,"CRITICAL",IF(E26&lt;=Assumptions!$B$8,"LOW","HEALTHY"))</f>
        <v>HEALTHY</v>
      </c>
    </row>
  </sheetData>
  <mergeCells count="1">
    <mergeCell ref="B1:I1"/>
  </mergeCells>
  <conditionalFormatting sqref="I5:I26">
    <cfRule type="containsText" dxfId="4" priority="1" operator="containsText" text="HEALTHY">
      <formula>NOT(ISERROR(SEARCH("HEALTHY",I5)))</formula>
    </cfRule>
    <cfRule type="containsText" dxfId="3" priority="2" operator="containsText" text="LOW">
      <formula>NOT(ISERROR(SEARCH("LOW",I5)))</formula>
    </cfRule>
    <cfRule type="containsText" dxfId="2" priority="3" operator="containsText" text="CRITICAL">
      <formula>NOT(ISERROR(SEARCH("CRITICAL",I5)))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A265-858A-4895-A2C0-F1570186F0C1}">
  <dimension ref="A1:O27"/>
  <sheetViews>
    <sheetView tabSelected="1" workbookViewId="0">
      <selection activeCell="K26" sqref="K26"/>
    </sheetView>
  </sheetViews>
  <sheetFormatPr defaultRowHeight="13.8" x14ac:dyDescent="0.25"/>
  <cols>
    <col min="1" max="2" width="20" style="1" bestFit="1" customWidth="1"/>
    <col min="3" max="3" width="16.6640625" style="1" bestFit="1" customWidth="1"/>
    <col min="4" max="4" width="15.88671875" style="1" bestFit="1" customWidth="1"/>
    <col min="5" max="5" width="12.88671875" style="1" bestFit="1" customWidth="1"/>
    <col min="6" max="6" width="19.44140625" style="1" bestFit="1" customWidth="1"/>
    <col min="7" max="7" width="19" style="1" bestFit="1" customWidth="1"/>
    <col min="8" max="8" width="19.6640625" style="1" bestFit="1" customWidth="1"/>
    <col min="9" max="9" width="9.77734375" style="1" bestFit="1" customWidth="1"/>
    <col min="10" max="10" width="28.109375" style="1" bestFit="1" customWidth="1"/>
    <col min="11" max="11" width="18" style="1" bestFit="1" customWidth="1"/>
    <col min="12" max="12" width="18" style="1" customWidth="1"/>
    <col min="13" max="13" width="19.109375" style="1" bestFit="1" customWidth="1"/>
    <col min="14" max="15" width="9.5546875" style="1" bestFit="1" customWidth="1"/>
    <col min="16" max="16384" width="8.88671875" style="1"/>
  </cols>
  <sheetData>
    <row r="1" spans="1:15" ht="25.2" x14ac:dyDescent="0.45">
      <c r="A1" s="24"/>
      <c r="B1" s="64" t="s">
        <v>55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9"/>
      <c r="O1" s="55"/>
    </row>
    <row r="2" spans="1:15" x14ac:dyDescent="0.25">
      <c r="A2" s="47" t="s">
        <v>70</v>
      </c>
      <c r="B2" s="47" t="s">
        <v>50</v>
      </c>
      <c r="C2" s="48" t="s">
        <v>43</v>
      </c>
      <c r="D2" s="48" t="s">
        <v>44</v>
      </c>
      <c r="E2" s="47" t="s">
        <v>45</v>
      </c>
      <c r="F2" s="47" t="s">
        <v>51</v>
      </c>
      <c r="G2" s="47" t="s">
        <v>52</v>
      </c>
      <c r="H2" s="47" t="s">
        <v>57</v>
      </c>
      <c r="I2" s="47" t="s">
        <v>53</v>
      </c>
      <c r="J2" s="47" t="s">
        <v>54</v>
      </c>
      <c r="K2" s="47" t="s">
        <v>56</v>
      </c>
      <c r="L2" s="47"/>
      <c r="M2" s="70" t="s">
        <v>58</v>
      </c>
      <c r="N2" s="71" t="s">
        <v>72</v>
      </c>
      <c r="O2" s="72" t="s">
        <v>73</v>
      </c>
    </row>
    <row r="3" spans="1:15" x14ac:dyDescent="0.25">
      <c r="A3" s="47"/>
      <c r="B3" s="47"/>
      <c r="C3" s="48"/>
      <c r="D3" s="48"/>
      <c r="E3" s="47"/>
      <c r="F3" s="47"/>
      <c r="G3" s="47"/>
      <c r="H3" s="47"/>
      <c r="I3" s="47"/>
      <c r="J3" s="47"/>
      <c r="K3" s="47"/>
      <c r="L3" s="47"/>
      <c r="M3" s="47"/>
      <c r="N3" s="67"/>
      <c r="O3" s="68"/>
    </row>
    <row r="4" spans="1:15" x14ac:dyDescent="0.25">
      <c r="B4" s="2"/>
      <c r="C4" s="23"/>
      <c r="D4" s="23"/>
      <c r="M4" s="47"/>
      <c r="N4" s="67"/>
      <c r="O4" s="68"/>
    </row>
    <row r="5" spans="1:15" x14ac:dyDescent="0.25">
      <c r="A5" s="8" t="s">
        <v>32</v>
      </c>
      <c r="B5" s="8" t="s">
        <v>33</v>
      </c>
      <c r="C5" s="29">
        <v>8</v>
      </c>
      <c r="D5" s="30">
        <f>'Sales History'!L4</f>
        <v>85</v>
      </c>
      <c r="E5" s="29">
        <f>IFERROR(ROUND(C5/D5,2),0)</f>
        <v>0.09</v>
      </c>
      <c r="F5" s="39">
        <f>IF(E5&gt;=Assumptions!$B$8,0,IFERROR(ROUND(1/E5,2),0))</f>
        <v>11.11</v>
      </c>
      <c r="G5" s="40">
        <f t="shared" ref="G5:G10" si="0">IFERROR(F5/SUM($F$5:$F$10),0)</f>
        <v>0.6700844390832329</v>
      </c>
      <c r="H5" s="41">
        <f>IFERROR(G5*Assumptions!$B$10,0)</f>
        <v>402.05066344993975</v>
      </c>
      <c r="I5" s="41">
        <f>C5+H5</f>
        <v>410.05066344993975</v>
      </c>
      <c r="J5" s="42">
        <f>IFERROR(I5/D5,0)</f>
        <v>4.8241254523522326</v>
      </c>
      <c r="K5" s="39" t="str">
        <f>IF(J5&lt;Assumptions!$B$8,"INSUFFICIENT- "&amp;ROUND((Assumptions!$B$8-'Allocation Calculator'!J5)*D5,0)&amp;" units short", "OK")</f>
        <v>OK</v>
      </c>
      <c r="L5" s="41">
        <f>IF(E5&gt;=Assumptions!$B$8,0,(D5*Assumptions!$B$8)-C5)</f>
        <v>247</v>
      </c>
      <c r="M5" s="73">
        <f>IF(L5&gt;0,L5+($K$11-$L$11)/COUNTIF($L$5:$L$10,"&gt;"&amp;0),0)</f>
        <v>249.07499999999999</v>
      </c>
      <c r="N5" s="74">
        <f>M5+C5</f>
        <v>257.07499999999999</v>
      </c>
      <c r="O5" s="75">
        <f>N5/D5</f>
        <v>3.0244117647058824</v>
      </c>
    </row>
    <row r="6" spans="1:15" x14ac:dyDescent="0.25">
      <c r="A6" s="8" t="s">
        <v>32</v>
      </c>
      <c r="B6" s="11" t="s">
        <v>34</v>
      </c>
      <c r="C6" s="23">
        <v>95</v>
      </c>
      <c r="D6" s="32">
        <f>'Sales History'!L5</f>
        <v>55.75</v>
      </c>
      <c r="E6" s="23">
        <f t="shared" ref="E6:E10" si="1">IFERROR(ROUND(C6/D6,2),0)</f>
        <v>1.7</v>
      </c>
      <c r="F6" s="39">
        <f>IF(E6&gt;=Assumptions!$B$8,0,IFERROR(ROUND(1/E6,2),0))</f>
        <v>0.59</v>
      </c>
      <c r="G6" s="37">
        <f t="shared" si="0"/>
        <v>3.5585042219541618E-2</v>
      </c>
      <c r="H6" s="6">
        <f>IFERROR(G6*Assumptions!$B$10,0)</f>
        <v>21.351025331724969</v>
      </c>
      <c r="I6" s="6">
        <f t="shared" ref="I6:I26" si="2">C6+H6</f>
        <v>116.35102533172497</v>
      </c>
      <c r="J6" s="4">
        <f t="shared" ref="J6:J10" si="3">IFERROR(I6/D6,0)</f>
        <v>2.0870139072955149</v>
      </c>
      <c r="K6" s="1" t="str">
        <f>IF(J6&lt;Assumptions!$B$8,"INSUFFICIENT- "&amp;ROUND((Assumptions!$B$8-'Allocation Calculator'!J6)*D6,0)&amp;" units short", "OK")</f>
        <v>INSUFFICIENT- 51 units short</v>
      </c>
      <c r="L6" s="41">
        <f>IF(E6&gt;=Assumptions!$B$8,0,(D6*Assumptions!$B$8)-C6)</f>
        <v>72.25</v>
      </c>
      <c r="M6" s="73">
        <f t="shared" ref="M6:M10" si="4">IF(L6&gt;0,L6+($K$11-$L$11)/COUNTIF($L$5:$L$10,"&gt;"&amp;0),0)</f>
        <v>74.325000000000003</v>
      </c>
      <c r="N6" s="74">
        <f t="shared" ref="N6:N10" si="5">M6+C6</f>
        <v>169.32499999999999</v>
      </c>
      <c r="O6" s="75">
        <f t="shared" ref="O6:O10" si="6">N6/D6</f>
        <v>3.0372197309417039</v>
      </c>
    </row>
    <row r="7" spans="1:15" x14ac:dyDescent="0.25">
      <c r="A7" s="8" t="s">
        <v>32</v>
      </c>
      <c r="B7" s="11" t="s">
        <v>35</v>
      </c>
      <c r="C7" s="23">
        <v>45</v>
      </c>
      <c r="D7" s="32">
        <f>'Sales History'!L6</f>
        <v>41.375</v>
      </c>
      <c r="E7" s="23">
        <f t="shared" si="1"/>
        <v>1.0900000000000001</v>
      </c>
      <c r="F7" s="39">
        <f>IF(E7&gt;=Assumptions!$B$8,0,IFERROR(ROUND(1/E7,2),0))</f>
        <v>0.92</v>
      </c>
      <c r="G7" s="37">
        <f t="shared" si="0"/>
        <v>5.5488540410132701E-2</v>
      </c>
      <c r="H7" s="6">
        <f>IFERROR(G7*Assumptions!$B$10,0)</f>
        <v>33.293124246079621</v>
      </c>
      <c r="I7" s="6">
        <f t="shared" si="2"/>
        <v>78.293124246079628</v>
      </c>
      <c r="J7" s="4">
        <f t="shared" si="3"/>
        <v>1.8922809485457313</v>
      </c>
      <c r="K7" s="1" t="str">
        <f>IF(J7&lt;Assumptions!$B$8,"INSUFFICIENT- "&amp;ROUND((Assumptions!$B$8-'Allocation Calculator'!J7)*D7,0)&amp;" units short", "OK")</f>
        <v>INSUFFICIENT- 46 units short</v>
      </c>
      <c r="L7" s="41">
        <f>IF(E7&gt;=Assumptions!$B$8,0,(D7*Assumptions!$B$8)-C7)</f>
        <v>79.125</v>
      </c>
      <c r="M7" s="73">
        <f t="shared" si="4"/>
        <v>81.2</v>
      </c>
      <c r="N7" s="74">
        <f t="shared" si="5"/>
        <v>126.2</v>
      </c>
      <c r="O7" s="75">
        <f t="shared" si="6"/>
        <v>3.0501510574018127</v>
      </c>
    </row>
    <row r="8" spans="1:15" x14ac:dyDescent="0.25">
      <c r="A8" s="8" t="s">
        <v>32</v>
      </c>
      <c r="B8" s="11" t="s">
        <v>36</v>
      </c>
      <c r="C8" s="23">
        <v>12</v>
      </c>
      <c r="D8" s="32">
        <f>'Sales History'!L7</f>
        <v>27.25</v>
      </c>
      <c r="E8" s="23">
        <f t="shared" si="1"/>
        <v>0.44</v>
      </c>
      <c r="F8" s="39">
        <f>IF(E8&gt;=Assumptions!$B$8,0,IFERROR(ROUND(1/E8,2),0))</f>
        <v>2.27</v>
      </c>
      <c r="G8" s="37">
        <f t="shared" si="0"/>
        <v>0.13691194209891436</v>
      </c>
      <c r="H8" s="6">
        <f>IFERROR(G8*Assumptions!$B$10,0)</f>
        <v>82.147165259348611</v>
      </c>
      <c r="I8" s="6">
        <f t="shared" si="2"/>
        <v>94.147165259348611</v>
      </c>
      <c r="J8" s="4">
        <f t="shared" si="3"/>
        <v>3.4549418443797655</v>
      </c>
      <c r="K8" s="1" t="str">
        <f>IF(J8&lt;Assumptions!$B$8,"INSUFFICIENT- "&amp;ROUND((Assumptions!$B$8-'Allocation Calculator'!J8)*D8,0)&amp;" units short", "OK")</f>
        <v>OK</v>
      </c>
      <c r="L8" s="41">
        <f>IF(E8&gt;=Assumptions!$B$8,0,(D8*Assumptions!$B$8)-C8)</f>
        <v>69.75</v>
      </c>
      <c r="M8" s="73">
        <f t="shared" si="4"/>
        <v>71.825000000000003</v>
      </c>
      <c r="N8" s="74">
        <f t="shared" si="5"/>
        <v>83.825000000000003</v>
      </c>
      <c r="O8" s="75">
        <f t="shared" si="6"/>
        <v>3.0761467889908256</v>
      </c>
    </row>
    <row r="9" spans="1:15" x14ac:dyDescent="0.25">
      <c r="A9" s="8" t="s">
        <v>32</v>
      </c>
      <c r="B9" s="11" t="s">
        <v>37</v>
      </c>
      <c r="C9" s="23">
        <v>30</v>
      </c>
      <c r="D9" s="32">
        <f>'Sales History'!L8</f>
        <v>50.5</v>
      </c>
      <c r="E9" s="23">
        <f t="shared" si="1"/>
        <v>0.59</v>
      </c>
      <c r="F9" s="39">
        <f>IF(E9&gt;=Assumptions!$B$8,0,IFERROR(ROUND(1/E9,2),0))</f>
        <v>1.69</v>
      </c>
      <c r="G9" s="37">
        <f t="shared" si="0"/>
        <v>0.10193003618817853</v>
      </c>
      <c r="H9" s="6">
        <f>IFERROR(G9*Assumptions!$B$10,0)</f>
        <v>61.158021712907114</v>
      </c>
      <c r="I9" s="6">
        <f t="shared" si="2"/>
        <v>91.158021712907114</v>
      </c>
      <c r="J9" s="4">
        <f t="shared" si="3"/>
        <v>1.8051093408496459</v>
      </c>
      <c r="K9" s="1" t="str">
        <f>IF(J9&lt;Assumptions!$B$8,"INSUFFICIENT- "&amp;ROUND((Assumptions!$B$8-'Allocation Calculator'!J9)*D9,0)&amp;" units short", "OK")</f>
        <v>INSUFFICIENT- 60 units short</v>
      </c>
      <c r="L9" s="41">
        <f>IF(E9&gt;=Assumptions!$B$8,0,(D9*Assumptions!$B$8)-C9)</f>
        <v>121.5</v>
      </c>
      <c r="M9" s="73">
        <f t="shared" si="4"/>
        <v>123.575</v>
      </c>
      <c r="N9" s="74">
        <f t="shared" si="5"/>
        <v>153.57499999999999</v>
      </c>
      <c r="O9" s="75">
        <f t="shared" si="6"/>
        <v>3.0410891089108909</v>
      </c>
    </row>
    <row r="10" spans="1:15" x14ac:dyDescent="0.25">
      <c r="A10" s="8" t="s">
        <v>32</v>
      </c>
      <c r="B10" s="14" t="s">
        <v>38</v>
      </c>
      <c r="C10" s="34">
        <v>60</v>
      </c>
      <c r="D10" s="35">
        <f>'Sales History'!L9</f>
        <v>16.375</v>
      </c>
      <c r="E10" s="34">
        <f t="shared" si="1"/>
        <v>3.66</v>
      </c>
      <c r="F10" s="39">
        <f>IF(E10&gt;=Assumptions!$B$8,0,IFERROR(ROUND(1/E10,2),0))</f>
        <v>0</v>
      </c>
      <c r="G10" s="44">
        <f t="shared" si="0"/>
        <v>0</v>
      </c>
      <c r="H10" s="45">
        <f>IFERROR(G10*Assumptions!$B$10,0)</f>
        <v>0</v>
      </c>
      <c r="I10" s="45">
        <f t="shared" si="2"/>
        <v>60</v>
      </c>
      <c r="J10" s="46">
        <f t="shared" si="3"/>
        <v>3.66412213740458</v>
      </c>
      <c r="K10" s="43" t="str">
        <f>IF(J10&lt;Assumptions!$B$8,"INSUFFICIENT- "&amp;ROUND((Assumptions!$B$8-'Allocation Calculator'!J10)*D10,0)&amp;" units short", "OK")</f>
        <v>OK</v>
      </c>
      <c r="L10" s="39">
        <f>IF(E10&gt;=Assumptions!$B$8,0,(D10*Assumptions!$B$8)-C10)</f>
        <v>0</v>
      </c>
      <c r="M10" s="73">
        <f t="shared" si="4"/>
        <v>0</v>
      </c>
      <c r="N10" s="74">
        <f t="shared" si="5"/>
        <v>60</v>
      </c>
      <c r="O10" s="75">
        <f t="shared" si="6"/>
        <v>3.66412213740458</v>
      </c>
    </row>
    <row r="11" spans="1:15" x14ac:dyDescent="0.25">
      <c r="C11" s="23"/>
      <c r="D11" s="23"/>
      <c r="E11" s="23"/>
      <c r="G11" s="25">
        <f>SUM(G5:G10)</f>
        <v>1</v>
      </c>
      <c r="H11" s="38">
        <f>IFERROR(G11*Assumptions!$B$10,0)</f>
        <v>600</v>
      </c>
      <c r="I11" s="6"/>
      <c r="J11" s="4"/>
      <c r="K11" s="38">
        <f>H11-M11</f>
        <v>600</v>
      </c>
      <c r="L11" s="38">
        <f>SUM(L5:L10)</f>
        <v>589.625</v>
      </c>
      <c r="M11" s="65"/>
      <c r="N11" s="11"/>
      <c r="O11" s="13"/>
    </row>
    <row r="12" spans="1:15" x14ac:dyDescent="0.25">
      <c r="B12" s="2"/>
      <c r="C12" s="23"/>
      <c r="D12" s="23"/>
      <c r="E12" s="23"/>
      <c r="I12" s="6"/>
      <c r="J12" s="4"/>
      <c r="N12" s="11"/>
      <c r="O12" s="13"/>
    </row>
    <row r="13" spans="1:15" x14ac:dyDescent="0.25">
      <c r="A13" s="8" t="s">
        <v>39</v>
      </c>
      <c r="B13" s="8" t="s">
        <v>33</v>
      </c>
      <c r="C13" s="29">
        <v>5</v>
      </c>
      <c r="D13" s="30">
        <f>'Sales History'!L12</f>
        <v>56.25</v>
      </c>
      <c r="E13" s="29">
        <f t="shared" ref="E13:E18" si="7">IFERROR(ROUND(C13/D13,2),0)</f>
        <v>0.09</v>
      </c>
      <c r="F13" s="39">
        <f>IF(E13&gt;=Assumptions!$B$8,0,IFERROR(ROUND(1/E13,2),0))</f>
        <v>11.11</v>
      </c>
      <c r="G13" s="40">
        <f t="shared" ref="G13:G18" si="8">IFERROR(F13/SUM($F$13:$F$18),0)</f>
        <v>0.71677419354838701</v>
      </c>
      <c r="H13" s="41">
        <f>IFERROR(G13*Assumptions!$B$11,0)</f>
        <v>286.70967741935482</v>
      </c>
      <c r="I13" s="41">
        <f t="shared" si="2"/>
        <v>291.70967741935482</v>
      </c>
      <c r="J13" s="42">
        <f>IFERROR(I13/D13,0)</f>
        <v>5.1859498207885304</v>
      </c>
      <c r="K13" s="39" t="str">
        <f>IF(J13&lt;Assumptions!$B$8,"INSUFFICIENT- "&amp;ROUND((Assumptions!$B$8-'Allocation Calculator'!J13)*D13,0)&amp;" units short", "OK")</f>
        <v>OK</v>
      </c>
      <c r="L13" s="41">
        <f>IF(E13&gt;=Assumptions!$B$8,0,(D13*Assumptions!$B$8)-C13)</f>
        <v>163.75</v>
      </c>
      <c r="M13" s="73">
        <f>IF(L13&gt;0,L13+($K$19-$L$19)/COUNTIF($L$13:$L$18,"&gt;"&amp;0),0)</f>
        <v>173.375</v>
      </c>
      <c r="N13" s="74">
        <f>M13+C13</f>
        <v>178.375</v>
      </c>
      <c r="O13" s="75">
        <f>N13/D13</f>
        <v>3.1711111111111112</v>
      </c>
    </row>
    <row r="14" spans="1:15" x14ac:dyDescent="0.25">
      <c r="A14" s="8" t="s">
        <v>39</v>
      </c>
      <c r="B14" s="11" t="s">
        <v>34</v>
      </c>
      <c r="C14" s="23">
        <v>40</v>
      </c>
      <c r="D14" s="32">
        <f>'Sales History'!L13</f>
        <v>36</v>
      </c>
      <c r="E14" s="23">
        <f t="shared" si="7"/>
        <v>1.1100000000000001</v>
      </c>
      <c r="F14" s="39">
        <f>IF(E14&gt;=Assumptions!$B$8,0,IFERROR(ROUND(1/E14,2),0))</f>
        <v>0.9</v>
      </c>
      <c r="G14" s="37">
        <f t="shared" si="8"/>
        <v>5.8064516129032261E-2</v>
      </c>
      <c r="H14" s="6">
        <f>IFERROR(G14*Assumptions!$B$11,0)</f>
        <v>23.225806451612904</v>
      </c>
      <c r="I14" s="6">
        <f t="shared" si="2"/>
        <v>63.225806451612904</v>
      </c>
      <c r="J14" s="4">
        <f t="shared" ref="J14:J17" si="9">IFERROR(I14/D14,0)</f>
        <v>1.7562724014336917</v>
      </c>
      <c r="K14" s="1" t="str">
        <f>IF(J14&lt;Assumptions!$B$8,"INSUFFICIENT- "&amp;ROUND((Assumptions!$B$8-'Allocation Calculator'!J14)*D14,0)&amp;" units short", "OK")</f>
        <v>INSUFFICIENT- 45 units short</v>
      </c>
      <c r="L14" s="41">
        <f>IF(E14&gt;=Assumptions!$B$8,0,(D14*Assumptions!$B$8)-C14)</f>
        <v>68</v>
      </c>
      <c r="M14" s="73">
        <f t="shared" ref="M14:M18" si="10">IF(L14&gt;0,L14+($K$19-$L$19)/COUNTIF($L$13:$L$18,"&gt;"&amp;0),0)</f>
        <v>77.625</v>
      </c>
      <c r="N14" s="74">
        <f t="shared" ref="N14:N18" si="11">M14+C14</f>
        <v>117.625</v>
      </c>
      <c r="O14" s="75">
        <f t="shared" ref="O14:O18" si="12">N14/D14</f>
        <v>3.2673611111111112</v>
      </c>
    </row>
    <row r="15" spans="1:15" x14ac:dyDescent="0.25">
      <c r="A15" s="8" t="s">
        <v>39</v>
      </c>
      <c r="B15" s="11" t="s">
        <v>35</v>
      </c>
      <c r="C15" s="23">
        <v>80</v>
      </c>
      <c r="D15" s="32">
        <f>'Sales History'!L14</f>
        <v>27.25</v>
      </c>
      <c r="E15" s="23">
        <f t="shared" si="7"/>
        <v>2.94</v>
      </c>
      <c r="F15" s="39">
        <f>IF(E15&gt;=Assumptions!$B$8,0,IFERROR(ROUND(1/E15,2),0))</f>
        <v>0.34</v>
      </c>
      <c r="G15" s="37">
        <f t="shared" si="8"/>
        <v>2.1935483870967745E-2</v>
      </c>
      <c r="H15" s="6">
        <f>IFERROR(G15*Assumptions!$B$11,0)</f>
        <v>8.7741935483870979</v>
      </c>
      <c r="I15" s="6">
        <f t="shared" si="2"/>
        <v>88.774193548387103</v>
      </c>
      <c r="J15" s="4">
        <f t="shared" si="9"/>
        <v>3.2577685705830128</v>
      </c>
      <c r="K15" s="1" t="str">
        <f>IF(J15&lt;Assumptions!$B$8,"INSUFFICIENT- "&amp;ROUND((Assumptions!$B$8-'Allocation Calculator'!J15)*D15,0)&amp;" units short", "OK")</f>
        <v>OK</v>
      </c>
      <c r="L15" s="41">
        <f>IF(E15&gt;=Assumptions!$B$8,0,(D15*Assumptions!$B$8)-C15)</f>
        <v>1.75</v>
      </c>
      <c r="M15" s="73">
        <f t="shared" si="10"/>
        <v>11.375</v>
      </c>
      <c r="N15" s="74">
        <f t="shared" si="11"/>
        <v>91.375</v>
      </c>
      <c r="O15" s="75">
        <f t="shared" si="12"/>
        <v>3.3532110091743119</v>
      </c>
    </row>
    <row r="16" spans="1:15" x14ac:dyDescent="0.25">
      <c r="A16" s="8" t="s">
        <v>39</v>
      </c>
      <c r="B16" s="11" t="s">
        <v>36</v>
      </c>
      <c r="C16" s="23">
        <v>10</v>
      </c>
      <c r="D16" s="32">
        <f>'Sales History'!L15</f>
        <v>18.625</v>
      </c>
      <c r="E16" s="23">
        <f t="shared" si="7"/>
        <v>0.54</v>
      </c>
      <c r="F16" s="39">
        <f>IF(E16&gt;=Assumptions!$B$8,0,IFERROR(ROUND(1/E16,2),0))</f>
        <v>1.85</v>
      </c>
      <c r="G16" s="37">
        <f t="shared" si="8"/>
        <v>0.11935483870967742</v>
      </c>
      <c r="H16" s="6">
        <f>IFERROR(G16*Assumptions!$B$11,0)</f>
        <v>47.741935483870968</v>
      </c>
      <c r="I16" s="6">
        <f t="shared" si="2"/>
        <v>57.741935483870968</v>
      </c>
      <c r="J16" s="4">
        <f t="shared" si="9"/>
        <v>3.1002381467850184</v>
      </c>
      <c r="K16" s="1" t="str">
        <f>IF(J16&lt;Assumptions!$B$8,"INSUFFICIENT- "&amp;ROUND((Assumptions!$B$8-'Allocation Calculator'!J16)*D16,0)&amp;" units short", "OK")</f>
        <v>OK</v>
      </c>
      <c r="L16" s="41">
        <f>IF(E16&gt;=Assumptions!$B$8,0,(D16*Assumptions!$B$8)-C16)</f>
        <v>45.875</v>
      </c>
      <c r="M16" s="73">
        <f t="shared" si="10"/>
        <v>55.5</v>
      </c>
      <c r="N16" s="74">
        <f t="shared" si="11"/>
        <v>65.5</v>
      </c>
      <c r="O16" s="75">
        <f t="shared" si="12"/>
        <v>3.5167785234899327</v>
      </c>
    </row>
    <row r="17" spans="1:15" x14ac:dyDescent="0.25">
      <c r="A17" s="8" t="s">
        <v>39</v>
      </c>
      <c r="B17" s="11" t="s">
        <v>37</v>
      </c>
      <c r="C17" s="23">
        <v>25</v>
      </c>
      <c r="D17" s="32">
        <f>'Sales History'!L16</f>
        <v>32.5</v>
      </c>
      <c r="E17" s="23">
        <f t="shared" si="7"/>
        <v>0.77</v>
      </c>
      <c r="F17" s="39">
        <f>IF(E17&gt;=Assumptions!$B$8,0,IFERROR(ROUND(1/E17,2),0))</f>
        <v>1.3</v>
      </c>
      <c r="G17" s="37">
        <f t="shared" si="8"/>
        <v>8.387096774193549E-2</v>
      </c>
      <c r="H17" s="6">
        <f>IFERROR(G17*Assumptions!$B$11,0)</f>
        <v>33.548387096774199</v>
      </c>
      <c r="I17" s="6">
        <f t="shared" si="2"/>
        <v>58.548387096774199</v>
      </c>
      <c r="J17" s="4">
        <f t="shared" si="9"/>
        <v>1.8014888337468984</v>
      </c>
      <c r="K17" s="1" t="str">
        <f>IF(J17&lt;Assumptions!$B$8,"INSUFFICIENT- "&amp;ROUND((Assumptions!$B$8-'Allocation Calculator'!J17)*D17,0)&amp;" units short", "OK")</f>
        <v>INSUFFICIENT- 39 units short</v>
      </c>
      <c r="L17" s="41">
        <f>IF(E17&gt;=Assumptions!$B$8,0,(D17*Assumptions!$B$8)-C17)</f>
        <v>72.5</v>
      </c>
      <c r="M17" s="73">
        <f t="shared" si="10"/>
        <v>82.125</v>
      </c>
      <c r="N17" s="74">
        <f t="shared" si="11"/>
        <v>107.125</v>
      </c>
      <c r="O17" s="75">
        <f t="shared" si="12"/>
        <v>3.296153846153846</v>
      </c>
    </row>
    <row r="18" spans="1:15" x14ac:dyDescent="0.25">
      <c r="A18" s="8" t="s">
        <v>39</v>
      </c>
      <c r="B18" s="14" t="s">
        <v>38</v>
      </c>
      <c r="C18" s="34">
        <v>55</v>
      </c>
      <c r="D18" s="35">
        <f>'Sales History'!L17</f>
        <v>11.125</v>
      </c>
      <c r="E18" s="34">
        <f t="shared" si="7"/>
        <v>4.9400000000000004</v>
      </c>
      <c r="F18" s="39">
        <f>IF(E18&gt;=Assumptions!$B$8,0,IFERROR(ROUND(1/E18,2),0))</f>
        <v>0</v>
      </c>
      <c r="G18" s="44">
        <f t="shared" si="8"/>
        <v>0</v>
      </c>
      <c r="H18" s="45">
        <f>IFERROR(G18*Assumptions!$B$11,0)</f>
        <v>0</v>
      </c>
      <c r="I18" s="45">
        <f t="shared" si="2"/>
        <v>55</v>
      </c>
      <c r="J18" s="46">
        <f>IFERROR(I18/D18,0)</f>
        <v>4.9438202247191008</v>
      </c>
      <c r="K18" s="43" t="str">
        <f>IF(J18&lt;Assumptions!$B$8,"INSUFFICIENT- "&amp;ROUND((Assumptions!$B$8-'Allocation Calculator'!J18)*D18,0)&amp;" units short", "OK")</f>
        <v>OK</v>
      </c>
      <c r="L18" s="41">
        <f>IF(E18&gt;=Assumptions!$B$8,0,(D18*Assumptions!$B$8)-C18)</f>
        <v>0</v>
      </c>
      <c r="M18" s="73">
        <f t="shared" si="10"/>
        <v>0</v>
      </c>
      <c r="N18" s="74">
        <f t="shared" si="11"/>
        <v>55</v>
      </c>
      <c r="O18" s="75">
        <f t="shared" si="12"/>
        <v>4.9438202247191008</v>
      </c>
    </row>
    <row r="19" spans="1:15" x14ac:dyDescent="0.25">
      <c r="C19" s="23"/>
      <c r="D19" s="23"/>
      <c r="E19" s="23"/>
      <c r="G19" s="25">
        <f>SUM(G13:G18)</f>
        <v>1</v>
      </c>
      <c r="H19" s="38">
        <f>IFERROR(G19*Assumptions!$B$11,0)</f>
        <v>400</v>
      </c>
      <c r="I19" s="6"/>
      <c r="J19" s="4"/>
      <c r="K19" s="38">
        <f>H19-M19</f>
        <v>400</v>
      </c>
      <c r="L19" s="38">
        <f>SUM(L13:L18)</f>
        <v>351.875</v>
      </c>
      <c r="M19" s="65"/>
      <c r="N19" s="11"/>
      <c r="O19" s="13"/>
    </row>
    <row r="20" spans="1:15" x14ac:dyDescent="0.25">
      <c r="B20" s="2"/>
      <c r="C20" s="23"/>
      <c r="D20" s="23"/>
      <c r="E20" s="23"/>
      <c r="I20" s="6"/>
      <c r="J20" s="4"/>
      <c r="N20" s="11"/>
      <c r="O20" s="13"/>
    </row>
    <row r="21" spans="1:15" x14ac:dyDescent="0.25">
      <c r="A21" s="8" t="s">
        <v>40</v>
      </c>
      <c r="B21" s="8" t="s">
        <v>33</v>
      </c>
      <c r="C21" s="29">
        <v>15</v>
      </c>
      <c r="D21" s="30">
        <f>'Sales History'!L20</f>
        <v>36.875</v>
      </c>
      <c r="E21" s="29">
        <f t="shared" ref="E21" si="13">IFERROR(ROUND(C21/D21,2),0)</f>
        <v>0.41</v>
      </c>
      <c r="F21" s="39">
        <f>IF(E21&gt;=Assumptions!$B$8,0,IFERROR(ROUND(1/E21,2),0))</f>
        <v>2.44</v>
      </c>
      <c r="G21" s="40">
        <f>IFERROR(F21/SUM($F$21:$F$26),0)</f>
        <v>0.27201783723522849</v>
      </c>
      <c r="H21" s="41">
        <f>IFERROR(G21*Assumptions!$B$12,0)</f>
        <v>68.004459308807128</v>
      </c>
      <c r="I21" s="41">
        <f t="shared" si="2"/>
        <v>83.004459308807128</v>
      </c>
      <c r="J21" s="42">
        <f>IFERROR(I21/D21,0)</f>
        <v>2.2509683880354476</v>
      </c>
      <c r="K21" s="39" t="str">
        <f>IF(J21&lt;Assumptions!$B$8,"INSUFFICIENT- "&amp;ROUND((Assumptions!$B$8-'Allocation Calculator'!J21)*D21,0)&amp;" units short", "OK")</f>
        <v>INSUFFICIENT- 28 units short</v>
      </c>
      <c r="L21" s="41">
        <f>IF(E21&gt;=Assumptions!$B$8,0,(D21*Assumptions!$B$8)-C21)</f>
        <v>95.625</v>
      </c>
      <c r="M21" s="73">
        <f>IF(L21&gt;0,L21+($K$27-$L$27)/COUNTIF($L$21:$L$26,"&gt;"&amp;0),0)</f>
        <v>103.42499999999998</v>
      </c>
      <c r="N21" s="74">
        <f>M21+C21</f>
        <v>118.42499999999998</v>
      </c>
      <c r="O21" s="75">
        <f>N21/D21</f>
        <v>3.2115254237288129</v>
      </c>
    </row>
    <row r="22" spans="1:15" x14ac:dyDescent="0.25">
      <c r="A22" s="8" t="s">
        <v>40</v>
      </c>
      <c r="B22" s="11" t="s">
        <v>34</v>
      </c>
      <c r="C22" s="23">
        <v>70</v>
      </c>
      <c r="D22" s="32">
        <f>'Sales History'!L21</f>
        <v>25.125</v>
      </c>
      <c r="E22" s="23">
        <f t="shared" ref="E22:E26" si="14">IFERROR(ROUND(C22/D22,2),0)</f>
        <v>2.79</v>
      </c>
      <c r="F22" s="39">
        <f>IF(E22&gt;=Assumptions!$B$8,0,IFERROR(ROUND(1/E22,2),0))</f>
        <v>0.36</v>
      </c>
      <c r="G22" s="40">
        <f t="shared" ref="G22:G26" si="15">IFERROR(F22/SUM($F$21:$F$26),0)</f>
        <v>4.0133779264214041E-2</v>
      </c>
      <c r="H22" s="41">
        <f>IFERROR(G22*Assumptions!$B$12,0)</f>
        <v>10.03344481605351</v>
      </c>
      <c r="I22" s="6">
        <f t="shared" si="2"/>
        <v>80.033444816053503</v>
      </c>
      <c r="J22" s="4">
        <f t="shared" ref="J22:J25" si="16">IFERROR(H22/D22,0)</f>
        <v>0.39934108720610989</v>
      </c>
      <c r="K22" s="1" t="str">
        <f>IF(J22&lt;Assumptions!$B$8,"INSUFFICIENT- "&amp;ROUND((Assumptions!$B$8-'Allocation Calculator'!J22)*D22,0)&amp;" units short", "OK")</f>
        <v>INSUFFICIENT- 65 units short</v>
      </c>
      <c r="L22" s="41">
        <f>IF(E22&gt;=Assumptions!$B$8,0,(D22*Assumptions!$B$8)-C22)</f>
        <v>5.375</v>
      </c>
      <c r="M22" s="73">
        <f t="shared" ref="M22:M26" si="17">IF(L22&gt;0,L22+($K$27-$L$27)/COUNTIF($L$21:$L$26,"&gt;"&amp;0),0)</f>
        <v>13.174999999999988</v>
      </c>
      <c r="N22" s="74">
        <f t="shared" ref="N22:N26" si="18">M22+C22</f>
        <v>83.174999999999983</v>
      </c>
      <c r="O22" s="75">
        <f t="shared" ref="O22:O26" si="19">N22/D22</f>
        <v>3.3104477611940291</v>
      </c>
    </row>
    <row r="23" spans="1:15" x14ac:dyDescent="0.25">
      <c r="A23" s="8" t="s">
        <v>40</v>
      </c>
      <c r="B23" s="11" t="s">
        <v>35</v>
      </c>
      <c r="C23" s="23">
        <v>6</v>
      </c>
      <c r="D23" s="32">
        <f>'Sales History'!L22</f>
        <v>18.25</v>
      </c>
      <c r="E23" s="23">
        <f t="shared" si="14"/>
        <v>0.33</v>
      </c>
      <c r="F23" s="39">
        <f>IF(E23&gt;=Assumptions!$B$8,0,IFERROR(ROUND(1/E23,2),0))</f>
        <v>3.03</v>
      </c>
      <c r="G23" s="40">
        <f t="shared" si="15"/>
        <v>0.33779264214046817</v>
      </c>
      <c r="H23" s="41">
        <f>IFERROR(G23*Assumptions!$B$12,0)</f>
        <v>84.44816053511704</v>
      </c>
      <c r="I23" s="6">
        <f t="shared" si="2"/>
        <v>90.44816053511704</v>
      </c>
      <c r="J23" s="4">
        <f t="shared" si="16"/>
        <v>4.6272964676776462</v>
      </c>
      <c r="K23" s="1" t="str">
        <f>IF(J23&lt;Assumptions!$B$8,"INSUFFICIENT- "&amp;ROUND((Assumptions!$B$8-'Allocation Calculator'!J23)*D23,0)&amp;" units short", "OK")</f>
        <v>OK</v>
      </c>
      <c r="L23" s="41">
        <f>IF(E23&gt;=Assumptions!$B$8,0,(D23*Assumptions!$B$8)-C23)</f>
        <v>48.75</v>
      </c>
      <c r="M23" s="73">
        <f t="shared" si="17"/>
        <v>56.54999999999999</v>
      </c>
      <c r="N23" s="74">
        <f t="shared" si="18"/>
        <v>62.54999999999999</v>
      </c>
      <c r="O23" s="75">
        <f t="shared" si="19"/>
        <v>3.4273972602739722</v>
      </c>
    </row>
    <row r="24" spans="1:15" x14ac:dyDescent="0.25">
      <c r="A24" s="8" t="s">
        <v>40</v>
      </c>
      <c r="B24" s="11" t="s">
        <v>36</v>
      </c>
      <c r="C24" s="23">
        <v>35</v>
      </c>
      <c r="D24" s="32">
        <f>'Sales History'!L23</f>
        <v>12.75</v>
      </c>
      <c r="E24" s="23">
        <f t="shared" si="14"/>
        <v>2.75</v>
      </c>
      <c r="F24" s="39">
        <f>IF(E24&gt;=Assumptions!$B$8,0,IFERROR(ROUND(1/E24,2),0))</f>
        <v>0.36</v>
      </c>
      <c r="G24" s="40">
        <f t="shared" si="15"/>
        <v>4.0133779264214041E-2</v>
      </c>
      <c r="H24" s="41">
        <f>IFERROR(G24*Assumptions!$B$12,0)</f>
        <v>10.03344481605351</v>
      </c>
      <c r="I24" s="6">
        <f t="shared" si="2"/>
        <v>45.03344481605351</v>
      </c>
      <c r="J24" s="4">
        <f t="shared" si="16"/>
        <v>0.78693684831792243</v>
      </c>
      <c r="K24" s="1" t="str">
        <f>IF(J24&lt;Assumptions!$B$8,"INSUFFICIENT- "&amp;ROUND((Assumptions!$B$8-'Allocation Calculator'!J24)*D24,0)&amp;" units short", "OK")</f>
        <v>INSUFFICIENT- 28 units short</v>
      </c>
      <c r="L24" s="41">
        <f>IF(E24&gt;=Assumptions!$B$8,0,(D24*Assumptions!$B$8)-C24)</f>
        <v>3.25</v>
      </c>
      <c r="M24" s="73">
        <f t="shared" si="17"/>
        <v>11.049999999999988</v>
      </c>
      <c r="N24" s="74">
        <f t="shared" si="18"/>
        <v>46.04999999999999</v>
      </c>
      <c r="O24" s="75">
        <f t="shared" si="19"/>
        <v>3.6117647058823521</v>
      </c>
    </row>
    <row r="25" spans="1:15" x14ac:dyDescent="0.25">
      <c r="A25" s="8" t="s">
        <v>40</v>
      </c>
      <c r="B25" s="11" t="s">
        <v>37</v>
      </c>
      <c r="C25" s="23">
        <v>8</v>
      </c>
      <c r="D25" s="32">
        <f>'Sales History'!L24</f>
        <v>22</v>
      </c>
      <c r="E25" s="23">
        <f t="shared" si="14"/>
        <v>0.36</v>
      </c>
      <c r="F25" s="39">
        <f>IF(E25&gt;=Assumptions!$B$8,0,IFERROR(ROUND(1/E25,2),0))</f>
        <v>2.78</v>
      </c>
      <c r="G25" s="40">
        <f t="shared" si="15"/>
        <v>0.30992196209587508</v>
      </c>
      <c r="H25" s="41">
        <f>IFERROR(G25*Assumptions!$B$12,0)</f>
        <v>77.480490523968768</v>
      </c>
      <c r="I25" s="6">
        <f t="shared" si="2"/>
        <v>85.480490523968768</v>
      </c>
      <c r="J25" s="4">
        <f t="shared" si="16"/>
        <v>3.5218404783622166</v>
      </c>
      <c r="K25" s="1" t="str">
        <f>IF(J25&lt;Assumptions!$B$8,"INSUFFICIENT- "&amp;ROUND((Assumptions!$B$8-'Allocation Calculator'!J25)*D25,0)&amp;" units short", "OK")</f>
        <v>OK</v>
      </c>
      <c r="L25" s="41">
        <f>IF(E25&gt;=Assumptions!$B$8,0,(D25*Assumptions!$B$8)-C25)</f>
        <v>58</v>
      </c>
      <c r="M25" s="73">
        <f t="shared" si="17"/>
        <v>65.799999999999983</v>
      </c>
      <c r="N25" s="74">
        <f t="shared" si="18"/>
        <v>73.799999999999983</v>
      </c>
      <c r="O25" s="75">
        <f t="shared" si="19"/>
        <v>3.3545454545454536</v>
      </c>
    </row>
    <row r="26" spans="1:15" x14ac:dyDescent="0.25">
      <c r="A26" s="8" t="s">
        <v>40</v>
      </c>
      <c r="B26" s="14" t="s">
        <v>38</v>
      </c>
      <c r="C26" s="34">
        <v>45</v>
      </c>
      <c r="D26" s="35">
        <f>'Sales History'!L25</f>
        <v>7</v>
      </c>
      <c r="E26" s="34">
        <f t="shared" si="14"/>
        <v>6.43</v>
      </c>
      <c r="F26" s="39">
        <f>IF(E26&gt;=Assumptions!$B$8,0,IFERROR(ROUND(1/E26,2),0))</f>
        <v>0</v>
      </c>
      <c r="G26" s="40">
        <f t="shared" si="15"/>
        <v>0</v>
      </c>
      <c r="H26" s="41">
        <f>IFERROR(G26*Assumptions!$B$12,0)</f>
        <v>0</v>
      </c>
      <c r="I26" s="45">
        <f t="shared" si="2"/>
        <v>45</v>
      </c>
      <c r="J26" s="4">
        <f>IFERROR(I26/D26,0)</f>
        <v>6.4285714285714288</v>
      </c>
      <c r="K26" s="43" t="str">
        <f>IF(J26&lt;Assumptions!$B$8,"INSUFFICIENT- "&amp;ROUND((Assumptions!$B$8-'Allocation Calculator'!J26)*D26,0)&amp;" units short", "OK")</f>
        <v>OK</v>
      </c>
      <c r="L26" s="41">
        <f>IF(E26&gt;=Assumptions!$B$8,0,(D26*Assumptions!$B$8)-C26)</f>
        <v>0</v>
      </c>
      <c r="M26" s="73">
        <f t="shared" si="17"/>
        <v>0</v>
      </c>
      <c r="N26" s="74">
        <f t="shared" si="18"/>
        <v>45</v>
      </c>
      <c r="O26" s="75">
        <f t="shared" si="19"/>
        <v>6.4285714285714288</v>
      </c>
    </row>
    <row r="27" spans="1:15" x14ac:dyDescent="0.25">
      <c r="G27" s="25">
        <f>SUM(G21:G26)</f>
        <v>0.99999999999999978</v>
      </c>
      <c r="H27" s="38">
        <f>SUM(H21:H26)</f>
        <v>249.99999999999994</v>
      </c>
      <c r="K27" s="38">
        <f>H27-M27</f>
        <v>249.99999999999994</v>
      </c>
      <c r="L27" s="38">
        <f>SUM(L21:L26)</f>
        <v>211</v>
      </c>
      <c r="M27" s="38"/>
      <c r="N27" s="14"/>
      <c r="O27" s="66"/>
    </row>
  </sheetData>
  <mergeCells count="1">
    <mergeCell ref="B1:M1"/>
  </mergeCells>
  <conditionalFormatting sqref="K27:M27 K5:L26">
    <cfRule type="containsText" dxfId="1" priority="1" operator="containsText" text="INSUFFICIENT">
      <formula>NOT(ISERROR(SEARCH("INSUFFICIENT",K5)))</formula>
    </cfRule>
    <cfRule type="containsText" dxfId="0" priority="2" operator="containsText" text="OK">
      <formula>NOT(ISERROR(SEARCH("OK",K5)))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711F-2379-4C8C-80F8-5CA92235236A}">
  <dimension ref="A1:M27"/>
  <sheetViews>
    <sheetView zoomScale="71" workbookViewId="0">
      <selection activeCell="A5" sqref="A5:A26"/>
    </sheetView>
  </sheetViews>
  <sheetFormatPr defaultRowHeight="13.8" x14ac:dyDescent="0.25"/>
  <cols>
    <col min="1" max="1" width="8.88671875" style="1"/>
    <col min="2" max="2" width="20" style="1" bestFit="1" customWidth="1"/>
    <col min="3" max="3" width="13.88671875" style="1" bestFit="1" customWidth="1"/>
    <col min="4" max="11" width="15.77734375" style="1" bestFit="1" customWidth="1"/>
    <col min="12" max="12" width="20.33203125" style="1" bestFit="1" customWidth="1"/>
    <col min="13" max="16384" width="8.88671875" style="1"/>
  </cols>
  <sheetData>
    <row r="1" spans="1:13" ht="25.2" x14ac:dyDescent="0.45">
      <c r="A1" s="62" t="s">
        <v>69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28"/>
    </row>
    <row r="2" spans="1:13" x14ac:dyDescent="0.25">
      <c r="A2" s="47" t="s">
        <v>70</v>
      </c>
      <c r="B2" s="52" t="s">
        <v>71</v>
      </c>
      <c r="C2" s="47" t="s">
        <v>59</v>
      </c>
      <c r="D2" s="47" t="s">
        <v>60</v>
      </c>
      <c r="E2" s="47" t="s">
        <v>61</v>
      </c>
      <c r="F2" s="47" t="s">
        <v>62</v>
      </c>
      <c r="G2" s="47" t="s">
        <v>63</v>
      </c>
      <c r="H2" s="47" t="s">
        <v>64</v>
      </c>
      <c r="I2" s="47" t="s">
        <v>65</v>
      </c>
      <c r="J2" s="47" t="s">
        <v>66</v>
      </c>
      <c r="K2" s="47" t="s">
        <v>67</v>
      </c>
      <c r="L2" s="47" t="s">
        <v>68</v>
      </c>
    </row>
    <row r="3" spans="1:13" x14ac:dyDescent="0.25">
      <c r="A3" s="47"/>
      <c r="B3" s="60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3" x14ac:dyDescent="0.25">
      <c r="C4" s="39"/>
      <c r="D4" s="39"/>
      <c r="E4" s="39"/>
      <c r="F4" s="39"/>
      <c r="G4" s="39"/>
      <c r="H4" s="39"/>
      <c r="I4" s="39"/>
      <c r="J4" s="39"/>
      <c r="K4" s="39"/>
      <c r="L4" s="55"/>
    </row>
    <row r="5" spans="1:13" x14ac:dyDescent="0.25">
      <c r="A5" s="8" t="s">
        <v>32</v>
      </c>
      <c r="B5" s="11" t="s">
        <v>33</v>
      </c>
      <c r="C5" s="6">
        <v>850</v>
      </c>
      <c r="D5" s="56">
        <f>'Sales History'!$C4/'Sell-Through Analysis'!$C5</f>
        <v>8.4705882352941173E-2</v>
      </c>
      <c r="E5" s="56">
        <f>'Sales History'!$D4/'Sell-Through Analysis'!$C5</f>
        <v>9.1764705882352943E-2</v>
      </c>
      <c r="F5" s="56">
        <f>'Sales History'!$E4/$C5</f>
        <v>9.5294117647058821E-2</v>
      </c>
      <c r="G5" s="56">
        <f>'Sales History'!$F4/$C5</f>
        <v>0.11529411764705882</v>
      </c>
      <c r="H5" s="56">
        <f>'Sales History'!$G4/$C5</f>
        <v>0.12352941176470589</v>
      </c>
      <c r="I5" s="56">
        <f>'Sales History'!$H4/$C5</f>
        <v>0.10470588235294118</v>
      </c>
      <c r="J5" s="56">
        <f>'Sales History'!$I4/$C5</f>
        <v>9.6470588235294114E-2</v>
      </c>
      <c r="K5" s="56">
        <f>'Sales History'!$J4/$C5</f>
        <v>8.8235294117647065E-2</v>
      </c>
      <c r="L5" s="53">
        <f>AVERAGE(D5:K5)</f>
        <v>9.9999999999999992E-2</v>
      </c>
    </row>
    <row r="6" spans="1:13" x14ac:dyDescent="0.25">
      <c r="A6" s="8" t="s">
        <v>32</v>
      </c>
      <c r="B6" s="11" t="s">
        <v>34</v>
      </c>
      <c r="C6" s="6">
        <v>900</v>
      </c>
      <c r="D6" s="56">
        <f>'Sales History'!$C5/'Sell-Through Analysis'!$C6</f>
        <v>5.3333333333333337E-2</v>
      </c>
      <c r="E6" s="56">
        <f>'Sales History'!$D5/'Sell-Through Analysis'!$C6</f>
        <v>5.6666666666666664E-2</v>
      </c>
      <c r="F6" s="56">
        <f>'Sales History'!$E5/$C6</f>
        <v>5.8888888888888886E-2</v>
      </c>
      <c r="G6" s="56">
        <f>'Sales History'!$F5/$C6</f>
        <v>7.1111111111111111E-2</v>
      </c>
      <c r="H6" s="56">
        <f>'Sales History'!$G5/$C6</f>
        <v>7.6666666666666661E-2</v>
      </c>
      <c r="I6" s="56">
        <f>'Sales History'!$H5/$C6</f>
        <v>6.4444444444444443E-2</v>
      </c>
      <c r="J6" s="56">
        <f>'Sales History'!$I5/$C6</f>
        <v>0.06</v>
      </c>
      <c r="K6" s="56">
        <f>'Sales History'!$J5/$C6</f>
        <v>5.4444444444444441E-2</v>
      </c>
      <c r="L6" s="53">
        <f t="shared" ref="L6:L10" si="0">AVERAGE(D6:K6)</f>
        <v>6.1944444444444441E-2</v>
      </c>
    </row>
    <row r="7" spans="1:13" x14ac:dyDescent="0.25">
      <c r="A7" s="8" t="s">
        <v>32</v>
      </c>
      <c r="B7" s="11" t="s">
        <v>35</v>
      </c>
      <c r="C7" s="6">
        <v>580</v>
      </c>
      <c r="D7" s="56">
        <f>'Sales History'!$C6/'Sell-Through Analysis'!$C7</f>
        <v>6.2068965517241378E-2</v>
      </c>
      <c r="E7" s="56">
        <f>'Sales History'!$D6/'Sell-Through Analysis'!$C7</f>
        <v>6.5517241379310351E-2</v>
      </c>
      <c r="F7" s="56">
        <f>'Sales History'!$E6/$C7</f>
        <v>6.7241379310344823E-2</v>
      </c>
      <c r="G7" s="56">
        <f>'Sales History'!$F6/$C7</f>
        <v>8.1034482758620685E-2</v>
      </c>
      <c r="H7" s="56">
        <f>'Sales History'!$G6/$C7</f>
        <v>8.7931034482758616E-2</v>
      </c>
      <c r="I7" s="56">
        <f>'Sales History'!$H6/$C7</f>
        <v>7.4137931034482754E-2</v>
      </c>
      <c r="J7" s="56">
        <f>'Sales History'!$I6/$C7</f>
        <v>6.8965517241379309E-2</v>
      </c>
      <c r="K7" s="56">
        <f>'Sales History'!$J6/$C7</f>
        <v>6.3793103448275865E-2</v>
      </c>
      <c r="L7" s="53">
        <f t="shared" si="0"/>
        <v>7.1336206896551721E-2</v>
      </c>
    </row>
    <row r="8" spans="1:13" x14ac:dyDescent="0.25">
      <c r="A8" s="8" t="s">
        <v>32</v>
      </c>
      <c r="B8" s="11" t="s">
        <v>36</v>
      </c>
      <c r="C8" s="6">
        <v>480</v>
      </c>
      <c r="D8" s="56">
        <f>'Sales History'!$C7/'Sell-Through Analysis'!$C8</f>
        <v>0.05</v>
      </c>
      <c r="E8" s="56">
        <f>'Sales History'!$D7/'Sell-Through Analysis'!$C8</f>
        <v>5.2083333333333336E-2</v>
      </c>
      <c r="F8" s="56">
        <f>'Sales History'!$E7/$C8</f>
        <v>5.4166666666666669E-2</v>
      </c>
      <c r="G8" s="56">
        <f>'Sales History'!$F7/$C8</f>
        <v>6.458333333333334E-2</v>
      </c>
      <c r="H8" s="56">
        <f>'Sales History'!$G7/$C8</f>
        <v>7.0833333333333331E-2</v>
      </c>
      <c r="I8" s="56">
        <f>'Sales History'!$H7/$C8</f>
        <v>5.8333333333333334E-2</v>
      </c>
      <c r="J8" s="56">
        <f>'Sales History'!$I7/$C8</f>
        <v>5.4166666666666669E-2</v>
      </c>
      <c r="K8" s="56">
        <f>'Sales History'!$J7/$C8</f>
        <v>0.05</v>
      </c>
      <c r="L8" s="53">
        <f t="shared" si="0"/>
        <v>5.6770833333333333E-2</v>
      </c>
    </row>
    <row r="9" spans="1:13" x14ac:dyDescent="0.25">
      <c r="A9" s="8" t="s">
        <v>32</v>
      </c>
      <c r="B9" s="11" t="s">
        <v>37</v>
      </c>
      <c r="C9" s="6">
        <v>670</v>
      </c>
      <c r="D9" s="56">
        <f>'Sales History'!$C8/'Sell-Through Analysis'!$C9</f>
        <v>6.5671641791044774E-2</v>
      </c>
      <c r="E9" s="56">
        <f>'Sales History'!$D8/'Sell-Through Analysis'!$C9</f>
        <v>6.8656716417910449E-2</v>
      </c>
      <c r="F9" s="56">
        <f>'Sales History'!$E8/$C9</f>
        <v>7.1641791044776124E-2</v>
      </c>
      <c r="G9" s="56">
        <f>'Sales History'!$F8/$C9</f>
        <v>8.6567164179104483E-2</v>
      </c>
      <c r="H9" s="56">
        <f>'Sales History'!$G8/$C9</f>
        <v>9.2537313432835819E-2</v>
      </c>
      <c r="I9" s="56">
        <f>'Sales History'!$H8/$C9</f>
        <v>7.7611940298507459E-2</v>
      </c>
      <c r="J9" s="56">
        <f>'Sales History'!$I8/$C9</f>
        <v>7.3134328358208961E-2</v>
      </c>
      <c r="K9" s="56">
        <f>'Sales History'!$J8/$C9</f>
        <v>6.7164179104477612E-2</v>
      </c>
      <c r="L9" s="53">
        <f t="shared" si="0"/>
        <v>7.537313432835821E-2</v>
      </c>
    </row>
    <row r="10" spans="1:13" x14ac:dyDescent="0.25">
      <c r="A10" s="8" t="s">
        <v>32</v>
      </c>
      <c r="B10" s="14" t="s">
        <v>38</v>
      </c>
      <c r="C10" s="45">
        <v>350</v>
      </c>
      <c r="D10" s="57">
        <f>'Sales History'!$C9/'Sell-Through Analysis'!$C10</f>
        <v>4.2857142857142858E-2</v>
      </c>
      <c r="E10" s="57">
        <f>'Sales History'!$D9/'Sell-Through Analysis'!$C10</f>
        <v>4.2857142857142858E-2</v>
      </c>
      <c r="F10" s="57">
        <f>'Sales History'!$E9/$C10</f>
        <v>4.5714285714285714E-2</v>
      </c>
      <c r="G10" s="57">
        <f>'Sales History'!$F9/$C10</f>
        <v>5.1428571428571428E-2</v>
      </c>
      <c r="H10" s="57">
        <f>'Sales History'!$G9/$C10</f>
        <v>5.4285714285714284E-2</v>
      </c>
      <c r="I10" s="57">
        <f>'Sales History'!$H9/$C10</f>
        <v>4.8571428571428571E-2</v>
      </c>
      <c r="J10" s="57">
        <f>'Sales History'!$I9/$C10</f>
        <v>4.5714285714285714E-2</v>
      </c>
      <c r="K10" s="57">
        <f>'Sales History'!$J9/$C10</f>
        <v>4.2857142857142858E-2</v>
      </c>
      <c r="L10" s="54">
        <f t="shared" si="0"/>
        <v>4.6785714285714285E-2</v>
      </c>
    </row>
    <row r="11" spans="1:13" x14ac:dyDescent="0.25">
      <c r="B11" s="61"/>
      <c r="C11" s="6"/>
      <c r="D11" s="5"/>
      <c r="E11" s="5"/>
      <c r="F11" s="5"/>
      <c r="G11" s="5"/>
      <c r="H11" s="5"/>
      <c r="I11" s="5"/>
      <c r="J11" s="5"/>
      <c r="K11" s="5"/>
      <c r="L11" s="28"/>
    </row>
    <row r="12" spans="1:13" x14ac:dyDescent="0.25">
      <c r="C12" s="41"/>
      <c r="D12" s="58"/>
      <c r="E12" s="58"/>
      <c r="F12" s="58"/>
      <c r="G12" s="58"/>
      <c r="H12" s="58"/>
      <c r="I12" s="58"/>
      <c r="J12" s="58"/>
      <c r="K12" s="58"/>
      <c r="L12" s="55"/>
    </row>
    <row r="13" spans="1:13" x14ac:dyDescent="0.25">
      <c r="A13" s="8" t="s">
        <v>39</v>
      </c>
      <c r="B13" s="11" t="s">
        <v>33</v>
      </c>
      <c r="C13" s="6">
        <v>580</v>
      </c>
      <c r="D13" s="56">
        <f>'Sales History'!$C12/'Sell-Through Analysis'!$C13</f>
        <v>8.2758620689655171E-2</v>
      </c>
      <c r="E13" s="56">
        <f>'Sales History'!$D12/'Sell-Through Analysis'!$C13</f>
        <v>8.7931034482758616E-2</v>
      </c>
      <c r="F13" s="56">
        <f>'Sales History'!$E12/$C13</f>
        <v>9.1379310344827588E-2</v>
      </c>
      <c r="G13" s="56">
        <f>'Sales History'!$F12/$C13</f>
        <v>0.11206896551724138</v>
      </c>
      <c r="H13" s="56">
        <f>'Sales History'!$G12/$C13</f>
        <v>0.1206896551724138</v>
      </c>
      <c r="I13" s="56">
        <f>'Sales History'!$H12/$C13</f>
        <v>0.10172413793103448</v>
      </c>
      <c r="J13" s="56">
        <f>'Sales History'!$I12/$C13</f>
        <v>9.3103448275862075E-2</v>
      </c>
      <c r="K13" s="56">
        <f>'Sales History'!$J12/$C13</f>
        <v>8.6206896551724144E-2</v>
      </c>
      <c r="L13" s="53">
        <f>AVERAGE(D13:K13)</f>
        <v>9.6982758620689669E-2</v>
      </c>
    </row>
    <row r="14" spans="1:13" x14ac:dyDescent="0.25">
      <c r="A14" s="8" t="s">
        <v>39</v>
      </c>
      <c r="B14" s="11" t="s">
        <v>34</v>
      </c>
      <c r="C14" s="6">
        <v>820</v>
      </c>
      <c r="D14" s="56">
        <f>'Sales History'!$C13/'Sell-Through Analysis'!$C14</f>
        <v>3.7804878048780487E-2</v>
      </c>
      <c r="E14" s="56">
        <f>'Sales History'!$D13/'Sell-Through Analysis'!$C14</f>
        <v>4.0243902439024391E-2</v>
      </c>
      <c r="F14" s="56">
        <f>'Sales History'!$E13/$C14</f>
        <v>4.1463414634146344E-2</v>
      </c>
      <c r="G14" s="56">
        <f>'Sales History'!$F13/$C14</f>
        <v>0.05</v>
      </c>
      <c r="H14" s="56">
        <f>'Sales History'!$G13/$C14</f>
        <v>5.4878048780487805E-2</v>
      </c>
      <c r="I14" s="56">
        <f>'Sales History'!$H13/$C14</f>
        <v>4.5121951219512194E-2</v>
      </c>
      <c r="J14" s="56">
        <f>'Sales History'!$I13/$C14</f>
        <v>4.2682926829268296E-2</v>
      </c>
      <c r="K14" s="56">
        <f>'Sales History'!$J13/$C14</f>
        <v>3.9024390243902439E-2</v>
      </c>
      <c r="L14" s="53">
        <f t="shared" ref="L14:L18" si="1">AVERAGE(D14:K14)</f>
        <v>4.3902439024390234E-2</v>
      </c>
    </row>
    <row r="15" spans="1:13" x14ac:dyDescent="0.25">
      <c r="A15" s="8" t="s">
        <v>39</v>
      </c>
      <c r="B15" s="11" t="s">
        <v>35</v>
      </c>
      <c r="C15" s="6">
        <v>390</v>
      </c>
      <c r="D15" s="56">
        <f>'Sales History'!$C14/'Sell-Through Analysis'!$C15</f>
        <v>6.1538461538461542E-2</v>
      </c>
      <c r="E15" s="56">
        <f>'Sales History'!$D14/'Sell-Through Analysis'!$C15</f>
        <v>6.4102564102564097E-2</v>
      </c>
      <c r="F15" s="56">
        <f>'Sales History'!$E14/$C15</f>
        <v>6.6666666666666666E-2</v>
      </c>
      <c r="G15" s="56">
        <f>'Sales History'!$F14/$C15</f>
        <v>7.9487179487179482E-2</v>
      </c>
      <c r="H15" s="56">
        <f>'Sales History'!$G14/$C15</f>
        <v>8.7179487179487175E-2</v>
      </c>
      <c r="I15" s="56">
        <f>'Sales History'!$H14/$C15</f>
        <v>7.179487179487179E-2</v>
      </c>
      <c r="J15" s="56">
        <f>'Sales History'!$I14/$C15</f>
        <v>6.6666666666666666E-2</v>
      </c>
      <c r="K15" s="56">
        <f>'Sales History'!$J14/$C15</f>
        <v>6.1538461538461542E-2</v>
      </c>
      <c r="L15" s="53">
        <f t="shared" si="1"/>
        <v>6.9871794871794859E-2</v>
      </c>
    </row>
    <row r="16" spans="1:13" x14ac:dyDescent="0.25">
      <c r="A16" s="8" t="s">
        <v>39</v>
      </c>
      <c r="B16" s="11" t="s">
        <v>36</v>
      </c>
      <c r="C16" s="6">
        <v>340</v>
      </c>
      <c r="D16" s="56">
        <f>'Sales History'!$C15/'Sell-Through Analysis'!$C16</f>
        <v>4.7058823529411764E-2</v>
      </c>
      <c r="E16" s="56">
        <f>'Sales History'!$D15/'Sell-Through Analysis'!$C16</f>
        <v>0.05</v>
      </c>
      <c r="F16" s="56">
        <f>'Sales History'!$E15/$C16</f>
        <v>5.2941176470588235E-2</v>
      </c>
      <c r="G16" s="56">
        <f>'Sales History'!$F15/$C16</f>
        <v>6.1764705882352944E-2</v>
      </c>
      <c r="H16" s="56">
        <f>'Sales History'!$G15/$C16</f>
        <v>6.7647058823529407E-2</v>
      </c>
      <c r="I16" s="56">
        <f>'Sales History'!$H15/$C16</f>
        <v>5.5882352941176473E-2</v>
      </c>
      <c r="J16" s="56">
        <f>'Sales History'!$I15/$C16</f>
        <v>5.2941176470588235E-2</v>
      </c>
      <c r="K16" s="56">
        <f>'Sales History'!$J15/$C16</f>
        <v>0.05</v>
      </c>
      <c r="L16" s="53">
        <f t="shared" si="1"/>
        <v>5.4779411764705882E-2</v>
      </c>
    </row>
    <row r="17" spans="1:12" x14ac:dyDescent="0.25">
      <c r="A17" s="8" t="s">
        <v>39</v>
      </c>
      <c r="B17" s="11" t="s">
        <v>37</v>
      </c>
      <c r="C17" s="6">
        <v>440</v>
      </c>
      <c r="D17" s="56">
        <f>'Sales History'!$C16/'Sell-Through Analysis'!$C17</f>
        <v>6.363636363636363E-2</v>
      </c>
      <c r="E17" s="56">
        <f>'Sales History'!$D16/'Sell-Through Analysis'!$C17</f>
        <v>6.8181818181818177E-2</v>
      </c>
      <c r="F17" s="56">
        <f>'Sales History'!$E16/$C17</f>
        <v>7.045454545454545E-2</v>
      </c>
      <c r="G17" s="56">
        <f>'Sales History'!$F16/$C17</f>
        <v>8.4090909090909091E-2</v>
      </c>
      <c r="H17" s="56">
        <f>'Sales History'!$G16/$C17</f>
        <v>9.0909090909090912E-2</v>
      </c>
      <c r="I17" s="56">
        <f>'Sales History'!$H16/$C17</f>
        <v>7.7272727272727271E-2</v>
      </c>
      <c r="J17" s="56">
        <f>'Sales History'!$I16/$C17</f>
        <v>7.045454545454545E-2</v>
      </c>
      <c r="K17" s="56">
        <f>'Sales History'!$J16/$C17</f>
        <v>6.5909090909090903E-2</v>
      </c>
      <c r="L17" s="53">
        <f t="shared" si="1"/>
        <v>7.3863636363636367E-2</v>
      </c>
    </row>
    <row r="18" spans="1:12" x14ac:dyDescent="0.25">
      <c r="A18" s="8" t="s">
        <v>39</v>
      </c>
      <c r="B18" s="14" t="s">
        <v>38</v>
      </c>
      <c r="C18" s="45">
        <v>280</v>
      </c>
      <c r="D18" s="57">
        <f>'Sales History'!$C17/'Sell-Through Analysis'!$C18</f>
        <v>3.5714285714285712E-2</v>
      </c>
      <c r="E18" s="57">
        <f>'Sales History'!$D17/'Sell-Through Analysis'!$C18</f>
        <v>3.5714285714285712E-2</v>
      </c>
      <c r="F18" s="57">
        <f>'Sales History'!$E17/$C18</f>
        <v>3.9285714285714285E-2</v>
      </c>
      <c r="G18" s="57">
        <f>'Sales History'!$F17/$C18</f>
        <v>4.2857142857142858E-2</v>
      </c>
      <c r="H18" s="57">
        <f>'Sales History'!$G17/$C18</f>
        <v>0.05</v>
      </c>
      <c r="I18" s="57">
        <f>'Sales History'!$H17/$C18</f>
        <v>3.9285714285714285E-2</v>
      </c>
      <c r="J18" s="57">
        <f>'Sales History'!$I17/$C18</f>
        <v>3.9285714285714285E-2</v>
      </c>
      <c r="K18" s="57">
        <f>'Sales History'!$J17/$C18</f>
        <v>3.5714285714285712E-2</v>
      </c>
      <c r="L18" s="54">
        <f t="shared" si="1"/>
        <v>3.9732142857142855E-2</v>
      </c>
    </row>
    <row r="19" spans="1:12" x14ac:dyDescent="0.25">
      <c r="B19" s="61"/>
      <c r="C19" s="6"/>
      <c r="D19" s="5"/>
      <c r="E19" s="5"/>
      <c r="F19" s="5"/>
      <c r="G19" s="5"/>
      <c r="H19" s="5"/>
      <c r="I19" s="5"/>
      <c r="J19" s="5"/>
      <c r="K19" s="5"/>
      <c r="L19" s="28"/>
    </row>
    <row r="20" spans="1:12" x14ac:dyDescent="0.25">
      <c r="C20" s="41"/>
      <c r="D20" s="58"/>
      <c r="E20" s="58"/>
      <c r="F20" s="58"/>
      <c r="G20" s="58"/>
      <c r="H20" s="58"/>
      <c r="I20" s="58"/>
      <c r="J20" s="58"/>
      <c r="K20" s="58"/>
      <c r="L20" s="55"/>
    </row>
    <row r="21" spans="1:12" x14ac:dyDescent="0.25">
      <c r="A21" s="8" t="s">
        <v>40</v>
      </c>
      <c r="B21" s="11" t="s">
        <v>33</v>
      </c>
      <c r="C21" s="6">
        <v>390</v>
      </c>
      <c r="D21" s="56">
        <f>'Sales History'!$C20/'Sell-Through Analysis'!$C21</f>
        <v>8.2051282051282051E-2</v>
      </c>
      <c r="E21" s="56">
        <f>'Sales History'!$D20/'Sell-Through Analysis'!$C21</f>
        <v>8.7179487179487175E-2</v>
      </c>
      <c r="F21" s="56">
        <f>'Sales History'!$E20/$C21</f>
        <v>8.9743589743589744E-2</v>
      </c>
      <c r="G21" s="56">
        <f>'Sales History'!$F20/$C21</f>
        <v>0.1076923076923077</v>
      </c>
      <c r="H21" s="56">
        <f>'Sales History'!$G20/$C21</f>
        <v>0.11794871794871795</v>
      </c>
      <c r="I21" s="56">
        <f>'Sales History'!$H20/$C21</f>
        <v>9.7435897435897437E-2</v>
      </c>
      <c r="J21" s="56">
        <f>'Sales History'!$I20/$C21</f>
        <v>8.9743589743589744E-2</v>
      </c>
      <c r="K21" s="56">
        <f>'Sales History'!$J20/$C21</f>
        <v>8.461538461538462E-2</v>
      </c>
      <c r="L21" s="53">
        <f>AVERAGE(D21:K21)</f>
        <v>9.4551282051282062E-2</v>
      </c>
    </row>
    <row r="22" spans="1:12" x14ac:dyDescent="0.25">
      <c r="A22" s="8" t="s">
        <v>40</v>
      </c>
      <c r="B22" s="11" t="s">
        <v>34</v>
      </c>
      <c r="C22" s="6">
        <v>560</v>
      </c>
      <c r="D22" s="56">
        <f>'Sales History'!$C21/'Sell-Through Analysis'!$C22</f>
        <v>3.9285714285714285E-2</v>
      </c>
      <c r="E22" s="56">
        <f>'Sales History'!$D21/'Sell-Through Analysis'!$C22</f>
        <v>4.1071428571428571E-2</v>
      </c>
      <c r="F22" s="56">
        <f>'Sales History'!$E21/$C22</f>
        <v>4.2857142857142858E-2</v>
      </c>
      <c r="G22" s="56">
        <f>'Sales History'!$F21/$C22</f>
        <v>5.1785714285714289E-2</v>
      </c>
      <c r="H22" s="56">
        <f>'Sales History'!$G21/$C22</f>
        <v>5.5357142857142855E-2</v>
      </c>
      <c r="I22" s="56">
        <f>'Sales History'!$H21/$C22</f>
        <v>4.642857142857143E-2</v>
      </c>
      <c r="J22" s="56">
        <f>'Sales History'!$I21/$C22</f>
        <v>4.2857142857142858E-2</v>
      </c>
      <c r="K22" s="56">
        <f>'Sales History'!$J21/$C22</f>
        <v>3.9285714285714285E-2</v>
      </c>
      <c r="L22" s="53">
        <f t="shared" ref="L22:L26" si="2">AVERAGE(D22:K22)</f>
        <v>4.4866071428571436E-2</v>
      </c>
    </row>
    <row r="23" spans="1:12" x14ac:dyDescent="0.25">
      <c r="A23" s="8" t="s">
        <v>40</v>
      </c>
      <c r="B23" s="11" t="s">
        <v>35</v>
      </c>
      <c r="C23" s="6">
        <v>270</v>
      </c>
      <c r="D23" s="56">
        <f>'Sales History'!$C22/'Sell-Through Analysis'!$C23</f>
        <v>5.9259259259259262E-2</v>
      </c>
      <c r="E23" s="56">
        <f>'Sales History'!$D22/'Sell-Through Analysis'!$C23</f>
        <v>6.2962962962962957E-2</v>
      </c>
      <c r="F23" s="56">
        <f>'Sales History'!$E22/$C23</f>
        <v>6.2962962962962957E-2</v>
      </c>
      <c r="G23" s="56">
        <f>'Sales History'!$F22/$C23</f>
        <v>7.7777777777777779E-2</v>
      </c>
      <c r="H23" s="56">
        <f>'Sales History'!$G22/$C23</f>
        <v>8.1481481481481488E-2</v>
      </c>
      <c r="I23" s="56">
        <f>'Sales History'!$H22/$C23</f>
        <v>7.0370370370370375E-2</v>
      </c>
      <c r="J23" s="56">
        <f>'Sales History'!$I22/$C23</f>
        <v>6.6666666666666666E-2</v>
      </c>
      <c r="K23" s="56">
        <f>'Sales History'!$J22/$C23</f>
        <v>5.9259259259259262E-2</v>
      </c>
      <c r="L23" s="53">
        <f t="shared" si="2"/>
        <v>6.7592592592592593E-2</v>
      </c>
    </row>
    <row r="24" spans="1:12" x14ac:dyDescent="0.25">
      <c r="A24" s="8" t="s">
        <v>40</v>
      </c>
      <c r="B24" s="11" t="s">
        <v>36</v>
      </c>
      <c r="C24" s="6">
        <v>230</v>
      </c>
      <c r="D24" s="56">
        <f>'Sales History'!$C23/'Sell-Through Analysis'!$C24</f>
        <v>4.7826086956521741E-2</v>
      </c>
      <c r="E24" s="56">
        <f>'Sales History'!$D23/'Sell-Through Analysis'!$C24</f>
        <v>5.2173913043478258E-2</v>
      </c>
      <c r="F24" s="56">
        <f>'Sales History'!$E23/$C24</f>
        <v>5.2173913043478258E-2</v>
      </c>
      <c r="G24" s="56">
        <f>'Sales History'!$F23/$C24</f>
        <v>6.5217391304347824E-2</v>
      </c>
      <c r="H24" s="56">
        <f>'Sales History'!$G23/$C24</f>
        <v>6.9565217391304349E-2</v>
      </c>
      <c r="I24" s="56">
        <f>'Sales History'!$H23/$C24</f>
        <v>5.6521739130434782E-2</v>
      </c>
      <c r="J24" s="56">
        <f>'Sales History'!$I23/$C24</f>
        <v>5.2173913043478258E-2</v>
      </c>
      <c r="K24" s="56">
        <f>'Sales History'!$J23/$C24</f>
        <v>4.7826086956521741E-2</v>
      </c>
      <c r="L24" s="53">
        <f t="shared" si="2"/>
        <v>5.5434782608695651E-2</v>
      </c>
    </row>
    <row r="25" spans="1:12" x14ac:dyDescent="0.25">
      <c r="A25" s="8" t="s">
        <v>40</v>
      </c>
      <c r="B25" s="11" t="s">
        <v>37</v>
      </c>
      <c r="C25" s="6">
        <v>300</v>
      </c>
      <c r="D25" s="56">
        <f>'Sales History'!$C24/'Sell-Through Analysis'!$C25</f>
        <v>6.3333333333333339E-2</v>
      </c>
      <c r="E25" s="56">
        <f>'Sales History'!$D24/'Sell-Through Analysis'!$C25</f>
        <v>6.6666666666666666E-2</v>
      </c>
      <c r="F25" s="56">
        <f>'Sales History'!$E24/$C25</f>
        <v>7.0000000000000007E-2</v>
      </c>
      <c r="G25" s="56">
        <f>'Sales History'!$F24/$C25</f>
        <v>8.3333333333333329E-2</v>
      </c>
      <c r="H25" s="56">
        <f>'Sales History'!$G24/$C25</f>
        <v>0.09</v>
      </c>
      <c r="I25" s="56">
        <f>'Sales History'!$H24/$C25</f>
        <v>7.6666666666666661E-2</v>
      </c>
      <c r="J25" s="56">
        <f>'Sales History'!$I24/$C25</f>
        <v>7.0000000000000007E-2</v>
      </c>
      <c r="K25" s="56">
        <f>'Sales History'!$J24/$C25</f>
        <v>6.6666666666666666E-2</v>
      </c>
      <c r="L25" s="53">
        <f t="shared" si="2"/>
        <v>7.3333333333333334E-2</v>
      </c>
    </row>
    <row r="26" spans="1:12" x14ac:dyDescent="0.25">
      <c r="A26" s="8" t="s">
        <v>40</v>
      </c>
      <c r="B26" s="14" t="s">
        <v>38</v>
      </c>
      <c r="C26" s="45">
        <v>190</v>
      </c>
      <c r="D26" s="57">
        <f>'Sales History'!$C25/'Sell-Through Analysis'!$C26</f>
        <v>3.1578947368421054E-2</v>
      </c>
      <c r="E26" s="57">
        <f>'Sales History'!$D25/'Sell-Through Analysis'!$C26</f>
        <v>3.1578947368421054E-2</v>
      </c>
      <c r="F26" s="57">
        <f>'Sales History'!$E25/$C26</f>
        <v>3.6842105263157891E-2</v>
      </c>
      <c r="G26" s="57">
        <f>'Sales History'!$F25/$C26</f>
        <v>4.2105263157894736E-2</v>
      </c>
      <c r="H26" s="57">
        <f>'Sales History'!$G25/$C26</f>
        <v>4.736842105263158E-2</v>
      </c>
      <c r="I26" s="57">
        <f>'Sales History'!$H25/$C26</f>
        <v>3.6842105263157891E-2</v>
      </c>
      <c r="J26" s="57">
        <f>'Sales History'!$I25/$C26</f>
        <v>3.6842105263157891E-2</v>
      </c>
      <c r="K26" s="57">
        <f>'Sales History'!$J25/$C26</f>
        <v>3.1578947368421054E-2</v>
      </c>
      <c r="L26" s="54">
        <f t="shared" si="2"/>
        <v>3.6842105263157891E-2</v>
      </c>
    </row>
    <row r="27" spans="1:12" x14ac:dyDescent="0.25">
      <c r="D27" s="37"/>
    </row>
  </sheetData>
  <mergeCells count="1">
    <mergeCell ref="A1:L1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Sales History</vt:lpstr>
      <vt:lpstr>Inventory &amp; Replenishment</vt:lpstr>
      <vt:lpstr>Allocation Calculator</vt:lpstr>
      <vt:lpstr>Sell-Through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Vwede Iyere-Okojie</dc:creator>
  <cp:lastModifiedBy>Vwede Iyere-Okojie</cp:lastModifiedBy>
  <dcterms:created xsi:type="dcterms:W3CDTF">2026-05-03T13:50:16Z</dcterms:created>
  <dcterms:modified xsi:type="dcterms:W3CDTF">2026-05-23T12:02:04Z</dcterms:modified>
</cp:coreProperties>
</file>